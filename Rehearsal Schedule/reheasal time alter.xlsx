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"/>
    </mc:Choice>
  </mc:AlternateContent>
  <xr:revisionPtr revIDLastSave="0" documentId="8_{0A9031CE-DC04-4DD8-9A7B-F908F51750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8" i="1" s="1"/>
  <c r="I39" i="1" s="1"/>
  <c r="I40" i="1" s="1"/>
  <c r="I41" i="1" s="1"/>
  <c r="I42" i="1" s="1"/>
  <c r="I43" i="1" s="1"/>
  <c r="I44" i="1" s="1"/>
  <c r="D44" i="1" s="1"/>
  <c r="I25" i="1"/>
  <c r="I26" i="1" s="1"/>
  <c r="I27" i="1" s="1"/>
  <c r="I28" i="1" s="1"/>
  <c r="I29" i="1" s="1"/>
  <c r="I30" i="1" s="1"/>
  <c r="I31" i="1" s="1"/>
  <c r="I32" i="1" s="1"/>
  <c r="I18" i="1"/>
  <c r="I19" i="1" s="1"/>
  <c r="I20" i="1" s="1"/>
  <c r="I21" i="1" s="1"/>
  <c r="I22" i="1" s="1"/>
  <c r="I23" i="1" s="1"/>
  <c r="D23" i="1" s="1"/>
  <c r="I11" i="1"/>
  <c r="I12" i="1" s="1"/>
  <c r="I13" i="1" s="1"/>
  <c r="I14" i="1" s="1"/>
  <c r="I15" i="1" s="1"/>
  <c r="I16" i="1" s="1"/>
  <c r="D16" i="1" s="1"/>
  <c r="C58" i="1"/>
  <c r="C57" i="1"/>
  <c r="C56" i="1"/>
  <c r="C55" i="1"/>
  <c r="C54" i="1"/>
  <c r="C53" i="1"/>
  <c r="C52" i="1"/>
  <c r="C51" i="1"/>
  <c r="C50" i="1"/>
  <c r="C49" i="1"/>
  <c r="C47" i="1"/>
  <c r="C46" i="1"/>
  <c r="C44" i="1"/>
  <c r="C43" i="1"/>
  <c r="C42" i="1"/>
  <c r="C37" i="1"/>
  <c r="C41" i="1"/>
  <c r="C40" i="1"/>
  <c r="C39" i="1"/>
  <c r="C38" i="1"/>
  <c r="C35" i="1"/>
  <c r="C34" i="1"/>
  <c r="C32" i="1"/>
  <c r="C25" i="1"/>
  <c r="C31" i="1"/>
  <c r="C30" i="1"/>
  <c r="C29" i="1"/>
  <c r="C28" i="1"/>
  <c r="C27" i="1"/>
  <c r="C26" i="1"/>
  <c r="C23" i="1"/>
  <c r="C22" i="1"/>
  <c r="C21" i="1"/>
  <c r="C20" i="1"/>
  <c r="C19" i="1"/>
  <c r="C18" i="1"/>
  <c r="C16" i="1"/>
  <c r="C15" i="1"/>
  <c r="C14" i="1"/>
  <c r="C13" i="1"/>
  <c r="C12" i="1"/>
  <c r="C11" i="1"/>
  <c r="C9" i="1"/>
  <c r="C8" i="1"/>
  <c r="C7" i="1"/>
  <c r="C6" i="1"/>
  <c r="C5" i="1"/>
  <c r="C4" i="1"/>
  <c r="C3" i="1"/>
  <c r="C2" i="1"/>
  <c r="O38" i="1"/>
  <c r="O39" i="1"/>
  <c r="O40" i="1"/>
  <c r="O41" i="1"/>
  <c r="O37" i="1"/>
  <c r="O42" i="1"/>
  <c r="O43" i="1"/>
  <c r="O44" i="1"/>
  <c r="O46" i="1"/>
  <c r="O47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35" i="1"/>
  <c r="I49" i="1"/>
  <c r="I50" i="1" s="1"/>
  <c r="I51" i="1" s="1"/>
  <c r="I52" i="1" s="1"/>
  <c r="I53" i="1" s="1"/>
  <c r="I54" i="1" s="1"/>
  <c r="I55" i="1" s="1"/>
  <c r="I56" i="1" s="1"/>
  <c r="I57" i="1" s="1"/>
  <c r="I58" i="1" s="1"/>
  <c r="D58" i="1" s="1"/>
  <c r="I46" i="1"/>
  <c r="I47" i="1" s="1"/>
  <c r="D47" i="1" s="1"/>
  <c r="I34" i="1"/>
  <c r="I35" i="1" s="1"/>
  <c r="D35" i="1" s="1"/>
  <c r="I2" i="1"/>
  <c r="D2" i="1" s="1"/>
  <c r="D32" i="1" l="1"/>
  <c r="D22" i="1"/>
  <c r="D37" i="1"/>
  <c r="D26" i="1"/>
  <c r="D43" i="1"/>
  <c r="D27" i="1"/>
  <c r="D42" i="1"/>
  <c r="I3" i="1"/>
  <c r="D28" i="1"/>
  <c r="D46" i="1"/>
  <c r="D29" i="1"/>
  <c r="D11" i="1"/>
  <c r="D30" i="1"/>
  <c r="D49" i="1"/>
  <c r="D12" i="1"/>
  <c r="D31" i="1"/>
  <c r="D50" i="1"/>
  <c r="D13" i="1"/>
  <c r="D25" i="1"/>
  <c r="D51" i="1"/>
  <c r="D14" i="1"/>
  <c r="D52" i="1"/>
  <c r="D15" i="1"/>
  <c r="D34" i="1"/>
  <c r="D53" i="1"/>
  <c r="D54" i="1"/>
  <c r="D18" i="1"/>
  <c r="D38" i="1"/>
  <c r="D55" i="1"/>
  <c r="D19" i="1"/>
  <c r="D39" i="1"/>
  <c r="D56" i="1"/>
  <c r="D20" i="1"/>
  <c r="D40" i="1"/>
  <c r="D57" i="1"/>
  <c r="D21" i="1"/>
  <c r="D41" i="1"/>
  <c r="I4" i="1" l="1"/>
  <c r="D3" i="1"/>
  <c r="I5" i="1" l="1"/>
  <c r="D4" i="1"/>
  <c r="I6" i="1" l="1"/>
  <c r="D5" i="1"/>
  <c r="I7" i="1" l="1"/>
  <c r="D6" i="1"/>
  <c r="I8" i="1" l="1"/>
  <c r="D7" i="1"/>
  <c r="I9" i="1" l="1"/>
  <c r="D9" i="1" s="1"/>
  <c r="D8" i="1"/>
</calcChain>
</file>

<file path=xl/sharedStrings.xml><?xml version="1.0" encoding="utf-8"?>
<sst xmlns="http://schemas.openxmlformats.org/spreadsheetml/2006/main" count="68" uniqueCount="21">
  <si>
    <t>Rehearsal</t>
  </si>
  <si>
    <t>Date</t>
  </si>
  <si>
    <t>Rehearsal Start</t>
  </si>
  <si>
    <t>Title</t>
  </si>
  <si>
    <t>Rehearsal Time</t>
  </si>
  <si>
    <t>Rehearsal Time (minutes)</t>
  </si>
  <si>
    <t>Time in Rehearsal</t>
  </si>
  <si>
    <t>Break (minutes)</t>
  </si>
  <si>
    <t>Break Start (HH:MM)</t>
  </si>
  <si>
    <t>Break End (HH:MM)</t>
  </si>
  <si>
    <t>Elgar Variations</t>
  </si>
  <si>
    <t>Labour and Love</t>
  </si>
  <si>
    <t>Force of Destiny</t>
  </si>
  <si>
    <t>Aladdin</t>
  </si>
  <si>
    <t>Hyperdrive</t>
  </si>
  <si>
    <t>The President</t>
  </si>
  <si>
    <t>Blue Jeans</t>
  </si>
  <si>
    <t>Grandfather's Clock</t>
  </si>
  <si>
    <t>Interstellar</t>
  </si>
  <si>
    <t>Fantasy of Joy</t>
  </si>
  <si>
    <t>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</si>
</sst>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7" formatCode="hh:mm:ss;@"/>
    <numFmt numFmtId="168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dobe Devanagari"/>
      <family val="1"/>
    </font>
    <font>
      <sz val="10"/>
      <color theme="1"/>
      <name val="Adobe Devanagari"/>
      <family val="1"/>
    </font>
    <font>
      <b/>
      <sz val="11"/>
      <color theme="1"/>
      <name val="Adobe Devanaga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  <xf numFmtId="0" fontId="2" fillId="0" borderId="1" xfId="0" applyFont="1" applyBorder="1" applyAlignment="1">
      <alignment horizontal="center" vertical="top"/>
    </xf>
    <xf numFmtId="167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5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topLeftCell="A32" workbookViewId="0">
      <selection activeCell="I39" sqref="I39"/>
    </sheetView>
  </sheetViews>
  <sheetFormatPr defaultRowHeight="17.25" x14ac:dyDescent="0.4"/>
  <cols>
    <col min="2" max="2" width="10.42578125" bestFit="1" customWidth="1"/>
    <col min="3" max="3" width="18.85546875" style="12" bestFit="1" customWidth="1"/>
    <col min="4" max="4" width="9.140625" style="8"/>
    <col min="5" max="5" width="18.42578125" style="9" bestFit="1" customWidth="1"/>
  </cols>
  <sheetData>
    <row r="1" spans="1:12" x14ac:dyDescent="0.25">
      <c r="A1" s="1" t="s">
        <v>0</v>
      </c>
      <c r="B1" s="1" t="s">
        <v>1</v>
      </c>
      <c r="C1" s="10" t="s">
        <v>2</v>
      </c>
      <c r="D1" s="6"/>
      <c r="E1" s="6" t="s">
        <v>3</v>
      </c>
      <c r="F1" s="1" t="s">
        <v>4</v>
      </c>
      <c r="G1" s="1" t="s">
        <v>5</v>
      </c>
      <c r="H1" s="1"/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4">
      <c r="A2">
        <v>1</v>
      </c>
      <c r="B2" s="2">
        <v>46044</v>
      </c>
      <c r="C2" s="11" t="str">
        <f>TEXT(B2,"dddd mmmm dd")</f>
        <v>Thursday January 22</v>
      </c>
      <c r="D2" s="7" t="str">
        <f>TEXT(I2,"hh:mm")</f>
        <v>20:00</v>
      </c>
      <c r="E2" s="9" t="s">
        <v>15</v>
      </c>
      <c r="F2">
        <v>10</v>
      </c>
      <c r="G2">
        <v>10</v>
      </c>
      <c r="H2" t="s">
        <v>20</v>
      </c>
      <c r="I2" s="4" t="str">
        <f>IF(A2=A1,I1+CONCATENATE("00:",G1),"20:00")</f>
        <v>20:00</v>
      </c>
      <c r="J2">
        <v>0</v>
      </c>
      <c r="L2" s="3">
        <v>0.83333333333333337</v>
      </c>
    </row>
    <row r="3" spans="1:12" x14ac:dyDescent="0.4">
      <c r="A3">
        <v>1</v>
      </c>
      <c r="B3" s="2">
        <v>46044</v>
      </c>
      <c r="C3" s="11" t="str">
        <f t="shared" ref="C3:C58" si="0">TEXT(B3,"dddd mmmm dd")</f>
        <v>Thursday January 22</v>
      </c>
      <c r="D3" s="7" t="str">
        <f>TEXT(I3,"hh:mm")</f>
        <v>20:10</v>
      </c>
      <c r="E3" s="9" t="s">
        <v>16</v>
      </c>
      <c r="F3">
        <v>5</v>
      </c>
      <c r="G3">
        <v>5</v>
      </c>
      <c r="H3" s="3">
        <v>0.84027777777777779</v>
      </c>
      <c r="I3" s="4">
        <f t="shared" ref="I3:I58" si="1">IF(A3=A2,I2+CONCATENATE("00:",G2),"20:00")</f>
        <v>0.84027777777777779</v>
      </c>
      <c r="J3">
        <v>0</v>
      </c>
      <c r="L3" s="3">
        <v>0.84027777777777779</v>
      </c>
    </row>
    <row r="4" spans="1:12" x14ac:dyDescent="0.4">
      <c r="A4">
        <v>1</v>
      </c>
      <c r="B4" s="2">
        <v>46044</v>
      </c>
      <c r="C4" s="11" t="str">
        <f t="shared" si="0"/>
        <v>Thursday January 22</v>
      </c>
      <c r="D4" s="7" t="str">
        <f>TEXT(I4,"hh:mm")</f>
        <v>20:15</v>
      </c>
      <c r="E4" s="9" t="s">
        <v>17</v>
      </c>
      <c r="F4">
        <v>5</v>
      </c>
      <c r="G4">
        <v>5</v>
      </c>
      <c r="H4">
        <v>0.84375</v>
      </c>
      <c r="I4" s="4">
        <f t="shared" si="1"/>
        <v>0.84375</v>
      </c>
      <c r="J4">
        <v>0</v>
      </c>
      <c r="L4" s="3">
        <v>0.84375</v>
      </c>
    </row>
    <row r="5" spans="1:12" x14ac:dyDescent="0.4">
      <c r="A5">
        <v>1</v>
      </c>
      <c r="B5" s="2">
        <v>46044</v>
      </c>
      <c r="C5" s="11" t="str">
        <f t="shared" si="0"/>
        <v>Thursday January 22</v>
      </c>
      <c r="D5" s="7" t="str">
        <f>TEXT(I5,"hh:mm")</f>
        <v>20:20</v>
      </c>
      <c r="E5" s="9" t="s">
        <v>11</v>
      </c>
      <c r="F5">
        <v>25</v>
      </c>
      <c r="G5">
        <v>25</v>
      </c>
      <c r="H5">
        <v>0.84722222222222221</v>
      </c>
      <c r="I5" s="4">
        <f t="shared" si="1"/>
        <v>0.84722222222222221</v>
      </c>
      <c r="J5">
        <v>0</v>
      </c>
      <c r="L5" s="3">
        <v>0.84722222222222221</v>
      </c>
    </row>
    <row r="6" spans="1:12" x14ac:dyDescent="0.4">
      <c r="A6">
        <v>1</v>
      </c>
      <c r="B6" s="2">
        <v>46044</v>
      </c>
      <c r="C6" s="11" t="str">
        <f t="shared" si="0"/>
        <v>Thursday January 22</v>
      </c>
      <c r="D6" s="7" t="str">
        <f>TEXT(I6,"hh:mm")</f>
        <v>20:45</v>
      </c>
      <c r="E6" s="9" t="s">
        <v>12</v>
      </c>
      <c r="F6">
        <v>20</v>
      </c>
      <c r="G6">
        <v>20</v>
      </c>
      <c r="H6">
        <v>0.86458333333333337</v>
      </c>
      <c r="I6" s="4">
        <f t="shared" si="1"/>
        <v>0.86458333333333337</v>
      </c>
      <c r="J6">
        <v>0</v>
      </c>
      <c r="L6" s="3">
        <v>0.86458333333333337</v>
      </c>
    </row>
    <row r="7" spans="1:12" x14ac:dyDescent="0.4">
      <c r="A7">
        <v>1</v>
      </c>
      <c r="B7" s="2">
        <v>46044</v>
      </c>
      <c r="C7" s="11" t="str">
        <f t="shared" si="0"/>
        <v>Thursday January 22</v>
      </c>
      <c r="D7" s="7" t="str">
        <f>TEXT(I7,"hh:mm")</f>
        <v>21:05</v>
      </c>
      <c r="E7" s="9" t="s">
        <v>13</v>
      </c>
      <c r="F7">
        <v>15</v>
      </c>
      <c r="G7">
        <v>15</v>
      </c>
      <c r="H7">
        <v>0.87847222222222221</v>
      </c>
      <c r="I7" s="4">
        <f t="shared" si="1"/>
        <v>0.87847222222222221</v>
      </c>
      <c r="J7">
        <v>0</v>
      </c>
      <c r="L7" s="3">
        <v>0.87847222222222221</v>
      </c>
    </row>
    <row r="8" spans="1:12" x14ac:dyDescent="0.4">
      <c r="A8">
        <v>1</v>
      </c>
      <c r="B8" s="2">
        <v>46044</v>
      </c>
      <c r="C8" s="11" t="str">
        <f t="shared" si="0"/>
        <v>Thursday January 22</v>
      </c>
      <c r="D8" s="7" t="str">
        <f>TEXT(I8,"hh:mm")</f>
        <v>21:20</v>
      </c>
      <c r="E8" s="9" t="s">
        <v>14</v>
      </c>
      <c r="F8">
        <v>10</v>
      </c>
      <c r="G8">
        <v>10</v>
      </c>
      <c r="H8">
        <v>0.88888888888888884</v>
      </c>
      <c r="I8" s="4">
        <f t="shared" si="1"/>
        <v>0.88888888888888884</v>
      </c>
      <c r="J8">
        <v>0</v>
      </c>
      <c r="L8" s="3">
        <v>0.88888888888888884</v>
      </c>
    </row>
    <row r="9" spans="1:12" x14ac:dyDescent="0.4">
      <c r="A9">
        <v>1</v>
      </c>
      <c r="B9" s="2">
        <v>46044</v>
      </c>
      <c r="C9" s="11" t="str">
        <f t="shared" si="0"/>
        <v>Thursday January 22</v>
      </c>
      <c r="D9" s="7" t="str">
        <f>TEXT(I9,"hh:mm")</f>
        <v>21:30</v>
      </c>
      <c r="E9" s="9" t="s">
        <v>10</v>
      </c>
      <c r="F9">
        <v>30</v>
      </c>
      <c r="G9">
        <v>30</v>
      </c>
      <c r="H9">
        <v>0.89583333333333326</v>
      </c>
      <c r="I9" s="4">
        <f t="shared" si="1"/>
        <v>0.89583333333333326</v>
      </c>
      <c r="J9">
        <v>0</v>
      </c>
      <c r="L9" s="3">
        <v>0.89583333333333326</v>
      </c>
    </row>
    <row r="10" spans="1:12" x14ac:dyDescent="0.4">
      <c r="B10" s="2"/>
      <c r="C10" s="11"/>
      <c r="D10" s="7"/>
      <c r="I10" s="4"/>
      <c r="L10" s="3"/>
    </row>
    <row r="11" spans="1:12" x14ac:dyDescent="0.4">
      <c r="A11">
        <v>2</v>
      </c>
      <c r="B11" s="2">
        <v>46051</v>
      </c>
      <c r="C11" s="11" t="str">
        <f t="shared" si="0"/>
        <v>Thursday January 29</v>
      </c>
      <c r="D11" s="7" t="str">
        <f>TEXT(I11,"hh:mm")</f>
        <v>20:00</v>
      </c>
      <c r="E11" s="9" t="s">
        <v>15</v>
      </c>
      <c r="F11">
        <v>15</v>
      </c>
      <c r="G11">
        <v>15</v>
      </c>
      <c r="H11" t="s">
        <v>20</v>
      </c>
      <c r="I11" s="4" t="str">
        <f t="shared" ref="I11:I16" si="2">IF(A11=A10,I10+CONCATENATE("00:",G10),"20:00")</f>
        <v>20:00</v>
      </c>
      <c r="J11">
        <v>0</v>
      </c>
      <c r="L11" s="3">
        <v>0.83333333333333337</v>
      </c>
    </row>
    <row r="12" spans="1:12" x14ac:dyDescent="0.4">
      <c r="A12">
        <v>2</v>
      </c>
      <c r="B12" s="2">
        <v>46051</v>
      </c>
      <c r="C12" s="11" t="str">
        <f t="shared" si="0"/>
        <v>Thursday January 29</v>
      </c>
      <c r="D12" s="7" t="str">
        <f>TEXT(I12,"hh:mm")</f>
        <v>20:15</v>
      </c>
      <c r="E12" s="9" t="s">
        <v>12</v>
      </c>
      <c r="F12">
        <v>30</v>
      </c>
      <c r="G12">
        <v>30</v>
      </c>
      <c r="H12">
        <v>0.84375</v>
      </c>
      <c r="I12" s="4">
        <f t="shared" si="2"/>
        <v>0.84375</v>
      </c>
      <c r="J12">
        <v>0</v>
      </c>
      <c r="L12" s="3">
        <v>0.84375</v>
      </c>
    </row>
    <row r="13" spans="1:12" x14ac:dyDescent="0.4">
      <c r="A13">
        <v>2</v>
      </c>
      <c r="B13" s="2">
        <v>46051</v>
      </c>
      <c r="C13" s="11" t="str">
        <f t="shared" si="0"/>
        <v>Thursday January 29</v>
      </c>
      <c r="D13" s="7" t="str">
        <f>TEXT(I13,"hh:mm")</f>
        <v>20:45</v>
      </c>
      <c r="E13" s="9" t="s">
        <v>11</v>
      </c>
      <c r="F13">
        <v>30</v>
      </c>
      <c r="G13">
        <v>30</v>
      </c>
      <c r="H13">
        <v>0.86458333333333337</v>
      </c>
      <c r="I13" s="4">
        <f t="shared" si="2"/>
        <v>0.86458333333333337</v>
      </c>
      <c r="J13">
        <v>0</v>
      </c>
      <c r="L13" s="3">
        <v>0.86458333333333337</v>
      </c>
    </row>
    <row r="14" spans="1:12" x14ac:dyDescent="0.4">
      <c r="A14">
        <v>2</v>
      </c>
      <c r="B14" s="2">
        <v>46051</v>
      </c>
      <c r="C14" s="11" t="str">
        <f t="shared" si="0"/>
        <v>Thursday January 29</v>
      </c>
      <c r="D14" s="7" t="str">
        <f>TEXT(I14,"hh:mm")</f>
        <v>21:15</v>
      </c>
      <c r="E14" s="9" t="s">
        <v>13</v>
      </c>
      <c r="F14">
        <v>20</v>
      </c>
      <c r="G14">
        <v>20</v>
      </c>
      <c r="H14">
        <v>0.88541666666666674</v>
      </c>
      <c r="I14" s="4">
        <f t="shared" si="2"/>
        <v>0.88541666666666674</v>
      </c>
      <c r="J14">
        <v>0</v>
      </c>
      <c r="L14" s="3">
        <v>0.88541666666666674</v>
      </c>
    </row>
    <row r="15" spans="1:12" x14ac:dyDescent="0.4">
      <c r="A15">
        <v>2</v>
      </c>
      <c r="B15" s="2">
        <v>46051</v>
      </c>
      <c r="C15" s="11" t="str">
        <f t="shared" si="0"/>
        <v>Thursday January 29</v>
      </c>
      <c r="D15" s="7" t="str">
        <f>TEXT(I15,"hh:mm")</f>
        <v>21:35</v>
      </c>
      <c r="E15" s="9" t="s">
        <v>18</v>
      </c>
      <c r="F15">
        <v>20</v>
      </c>
      <c r="G15">
        <v>20</v>
      </c>
      <c r="H15">
        <v>0.89930555555555558</v>
      </c>
      <c r="I15" s="4">
        <f t="shared" si="2"/>
        <v>0.89930555555555558</v>
      </c>
      <c r="J15">
        <v>0</v>
      </c>
      <c r="L15" s="3">
        <v>0.89930555555555558</v>
      </c>
    </row>
    <row r="16" spans="1:12" x14ac:dyDescent="0.4">
      <c r="A16">
        <v>2</v>
      </c>
      <c r="B16" s="2">
        <v>46051</v>
      </c>
      <c r="C16" s="11" t="str">
        <f t="shared" si="0"/>
        <v>Thursday January 29</v>
      </c>
      <c r="D16" s="7" t="str">
        <f>TEXT(I16,"hh:mm")</f>
        <v>21:55</v>
      </c>
      <c r="E16" s="9" t="s">
        <v>19</v>
      </c>
      <c r="F16">
        <v>5</v>
      </c>
      <c r="G16">
        <v>5</v>
      </c>
      <c r="H16">
        <v>0.91319444444444442</v>
      </c>
      <c r="I16" s="4">
        <f t="shared" si="2"/>
        <v>0.91319444444444442</v>
      </c>
      <c r="J16">
        <v>0</v>
      </c>
      <c r="L16" s="3">
        <v>0.91319444444444442</v>
      </c>
    </row>
    <row r="17" spans="1:12" x14ac:dyDescent="0.4">
      <c r="B17" s="2"/>
      <c r="C17" s="11"/>
      <c r="D17" s="7"/>
      <c r="I17" s="4"/>
      <c r="L17" s="3"/>
    </row>
    <row r="18" spans="1:12" x14ac:dyDescent="0.4">
      <c r="A18">
        <v>3</v>
      </c>
      <c r="B18" s="2">
        <v>46058</v>
      </c>
      <c r="C18" s="11" t="str">
        <f t="shared" si="0"/>
        <v>Thursday February 05</v>
      </c>
      <c r="D18" s="7" t="str">
        <f>TEXT(I18,"hh:mm")</f>
        <v>20:00</v>
      </c>
      <c r="E18" s="9" t="s">
        <v>15</v>
      </c>
      <c r="F18">
        <v>10</v>
      </c>
      <c r="G18">
        <v>10</v>
      </c>
      <c r="H18" t="s">
        <v>20</v>
      </c>
      <c r="I18" s="4" t="str">
        <f t="shared" ref="I18:I23" si="3">IF(A18=A17,I17+CONCATENATE("00:",G17),"20:00")</f>
        <v>20:00</v>
      </c>
      <c r="J18">
        <v>0</v>
      </c>
      <c r="L18" s="3">
        <v>0.83333333333333337</v>
      </c>
    </row>
    <row r="19" spans="1:12" x14ac:dyDescent="0.4">
      <c r="A19">
        <v>3</v>
      </c>
      <c r="B19" s="2">
        <v>46058</v>
      </c>
      <c r="C19" s="11" t="str">
        <f t="shared" si="0"/>
        <v>Thursday February 05</v>
      </c>
      <c r="D19" s="7" t="str">
        <f>TEXT(I19,"hh:mm")</f>
        <v>20:10</v>
      </c>
      <c r="E19" s="9" t="s">
        <v>13</v>
      </c>
      <c r="F19">
        <v>30</v>
      </c>
      <c r="G19">
        <v>30</v>
      </c>
      <c r="H19">
        <v>0.84027777777777779</v>
      </c>
      <c r="I19" s="4">
        <f t="shared" si="3"/>
        <v>0.84027777777777779</v>
      </c>
      <c r="J19">
        <v>0</v>
      </c>
      <c r="L19" s="3">
        <v>0.84027777777777779</v>
      </c>
    </row>
    <row r="20" spans="1:12" x14ac:dyDescent="0.4">
      <c r="A20">
        <v>3</v>
      </c>
      <c r="B20" s="2">
        <v>46058</v>
      </c>
      <c r="C20" s="11" t="str">
        <f t="shared" si="0"/>
        <v>Thursday February 05</v>
      </c>
      <c r="D20" s="7" t="str">
        <f>TEXT(I20,"hh:mm")</f>
        <v>20:40</v>
      </c>
      <c r="E20" s="9" t="s">
        <v>18</v>
      </c>
      <c r="F20">
        <v>30</v>
      </c>
      <c r="G20">
        <v>30</v>
      </c>
      <c r="H20">
        <v>0.86111111111111116</v>
      </c>
      <c r="I20" s="4">
        <f t="shared" si="3"/>
        <v>0.86111111111111116</v>
      </c>
      <c r="J20">
        <v>0</v>
      </c>
      <c r="L20" s="3">
        <v>0.86111111111111116</v>
      </c>
    </row>
    <row r="21" spans="1:12" x14ac:dyDescent="0.4">
      <c r="A21">
        <v>3</v>
      </c>
      <c r="B21" s="2">
        <v>46058</v>
      </c>
      <c r="C21" s="11" t="str">
        <f t="shared" si="0"/>
        <v>Thursday February 05</v>
      </c>
      <c r="D21" s="7" t="str">
        <f>TEXT(I21,"hh:mm")</f>
        <v>21:10</v>
      </c>
      <c r="E21" s="9" t="s">
        <v>14</v>
      </c>
      <c r="F21">
        <v>20</v>
      </c>
      <c r="G21">
        <v>20</v>
      </c>
      <c r="H21">
        <v>0.88194444444444453</v>
      </c>
      <c r="I21" s="4">
        <f t="shared" si="3"/>
        <v>0.88194444444444453</v>
      </c>
      <c r="J21">
        <v>0</v>
      </c>
      <c r="L21" s="3">
        <v>0.88194444444444453</v>
      </c>
    </row>
    <row r="22" spans="1:12" x14ac:dyDescent="0.4">
      <c r="A22">
        <v>3</v>
      </c>
      <c r="B22" s="2">
        <v>46058</v>
      </c>
      <c r="C22" s="11" t="str">
        <f t="shared" si="0"/>
        <v>Thursday February 05</v>
      </c>
      <c r="D22" s="7" t="str">
        <f>TEXT(I22,"hh:mm")</f>
        <v>21:30</v>
      </c>
      <c r="E22" s="9" t="s">
        <v>11</v>
      </c>
      <c r="F22">
        <v>20</v>
      </c>
      <c r="G22">
        <v>20</v>
      </c>
      <c r="H22">
        <v>0.89583333333333337</v>
      </c>
      <c r="I22" s="4">
        <f t="shared" si="3"/>
        <v>0.89583333333333337</v>
      </c>
      <c r="J22">
        <v>0</v>
      </c>
      <c r="L22" s="3">
        <v>0.89583333333333337</v>
      </c>
    </row>
    <row r="23" spans="1:12" x14ac:dyDescent="0.4">
      <c r="A23">
        <v>3</v>
      </c>
      <c r="B23" s="2">
        <v>46058</v>
      </c>
      <c r="C23" s="11" t="str">
        <f t="shared" si="0"/>
        <v>Thursday February 05</v>
      </c>
      <c r="D23" s="7" t="str">
        <f>TEXT(I23,"hh:mm")</f>
        <v>21:50</v>
      </c>
      <c r="E23" s="9" t="s">
        <v>12</v>
      </c>
      <c r="F23">
        <v>10</v>
      </c>
      <c r="G23">
        <v>10</v>
      </c>
      <c r="H23">
        <v>0.90972222222222221</v>
      </c>
      <c r="I23" s="4">
        <f t="shared" si="3"/>
        <v>0.90972222222222221</v>
      </c>
      <c r="J23">
        <v>0</v>
      </c>
      <c r="L23" s="3">
        <v>0.90972222222222221</v>
      </c>
    </row>
    <row r="24" spans="1:12" x14ac:dyDescent="0.4">
      <c r="B24" s="2"/>
      <c r="C24" s="11"/>
      <c r="D24" s="7"/>
      <c r="I24" s="4"/>
      <c r="L24" s="3"/>
    </row>
    <row r="25" spans="1:12" x14ac:dyDescent="0.4">
      <c r="A25">
        <v>4</v>
      </c>
      <c r="B25" s="2">
        <v>46065</v>
      </c>
      <c r="C25" s="11" t="str">
        <f>TEXT(B25,"dddd mmmm dd")</f>
        <v>Thursday February 12</v>
      </c>
      <c r="D25" s="7" t="str">
        <f>TEXT(I25,"hh:mm")</f>
        <v>20:00</v>
      </c>
      <c r="E25" s="9" t="s">
        <v>19</v>
      </c>
      <c r="F25">
        <v>5</v>
      </c>
      <c r="G25">
        <v>5</v>
      </c>
      <c r="H25">
        <v>0.89236111111111094</v>
      </c>
      <c r="I25" s="4" t="str">
        <f t="shared" ref="I25:I32" si="4">IF(A25=A24,I24+CONCATENATE("00:",G24),"20:00")</f>
        <v>20:00</v>
      </c>
      <c r="J25">
        <v>0</v>
      </c>
      <c r="L25" s="3">
        <v>0.89236111111111094</v>
      </c>
    </row>
    <row r="26" spans="1:12" x14ac:dyDescent="0.4">
      <c r="A26">
        <v>4</v>
      </c>
      <c r="B26" s="2">
        <v>46065</v>
      </c>
      <c r="C26" s="11" t="str">
        <f t="shared" si="0"/>
        <v>Thursday February 12</v>
      </c>
      <c r="D26" s="7" t="str">
        <f>TEXT(I26,"hh:mm")</f>
        <v>20:05</v>
      </c>
      <c r="E26" s="9" t="s">
        <v>17</v>
      </c>
      <c r="F26">
        <v>10</v>
      </c>
      <c r="G26">
        <v>10</v>
      </c>
      <c r="H26" t="s">
        <v>20</v>
      </c>
      <c r="I26" s="4">
        <f t="shared" si="4"/>
        <v>0.83680555555555558</v>
      </c>
      <c r="J26">
        <v>0</v>
      </c>
      <c r="L26" s="3">
        <v>0.83333333333333337</v>
      </c>
    </row>
    <row r="27" spans="1:12" x14ac:dyDescent="0.4">
      <c r="A27">
        <v>4</v>
      </c>
      <c r="B27" s="2">
        <v>46065</v>
      </c>
      <c r="C27" s="11" t="str">
        <f t="shared" si="0"/>
        <v>Thursday February 12</v>
      </c>
      <c r="D27" s="7" t="str">
        <f>TEXT(I27,"hh:mm")</f>
        <v>20:15</v>
      </c>
      <c r="E27" s="9" t="s">
        <v>16</v>
      </c>
      <c r="F27">
        <v>5</v>
      </c>
      <c r="G27">
        <v>5</v>
      </c>
      <c r="H27">
        <v>0.84027777777777779</v>
      </c>
      <c r="I27" s="4">
        <f t="shared" si="4"/>
        <v>0.84375</v>
      </c>
      <c r="J27">
        <v>0</v>
      </c>
      <c r="L27" s="3">
        <v>0.84027777777777779</v>
      </c>
    </row>
    <row r="28" spans="1:12" x14ac:dyDescent="0.4">
      <c r="A28">
        <v>4</v>
      </c>
      <c r="B28" s="2">
        <v>46065</v>
      </c>
      <c r="C28" s="11" t="str">
        <f t="shared" si="0"/>
        <v>Thursday February 12</v>
      </c>
      <c r="D28" s="7" t="str">
        <f>TEXT(I28,"hh:mm")</f>
        <v>20:20</v>
      </c>
      <c r="E28" s="9" t="s">
        <v>12</v>
      </c>
      <c r="F28">
        <v>20</v>
      </c>
      <c r="G28">
        <v>20</v>
      </c>
      <c r="H28">
        <v>0.84375</v>
      </c>
      <c r="I28" s="4">
        <f t="shared" si="4"/>
        <v>0.84722222222222221</v>
      </c>
      <c r="J28">
        <v>0</v>
      </c>
      <c r="L28" s="3">
        <v>0.84375</v>
      </c>
    </row>
    <row r="29" spans="1:12" x14ac:dyDescent="0.4">
      <c r="A29">
        <v>4</v>
      </c>
      <c r="B29" s="2">
        <v>46065</v>
      </c>
      <c r="C29" s="11" t="str">
        <f t="shared" si="0"/>
        <v>Thursday February 12</v>
      </c>
      <c r="D29" s="7" t="str">
        <f>TEXT(I29,"hh:mm")</f>
        <v>20:40</v>
      </c>
      <c r="E29" s="9" t="s">
        <v>11</v>
      </c>
      <c r="F29">
        <v>20</v>
      </c>
      <c r="G29">
        <v>20</v>
      </c>
      <c r="H29">
        <v>0.85763888888888884</v>
      </c>
      <c r="I29" s="4">
        <f t="shared" si="4"/>
        <v>0.86111111111111105</v>
      </c>
      <c r="J29">
        <v>0</v>
      </c>
      <c r="L29" s="3">
        <v>0.85763888888888884</v>
      </c>
    </row>
    <row r="30" spans="1:12" x14ac:dyDescent="0.4">
      <c r="A30">
        <v>4</v>
      </c>
      <c r="B30" s="2">
        <v>46065</v>
      </c>
      <c r="C30" s="11" t="str">
        <f t="shared" si="0"/>
        <v>Thursday February 12</v>
      </c>
      <c r="D30" s="7" t="str">
        <f>TEXT(I30,"hh:mm")</f>
        <v>21:00</v>
      </c>
      <c r="E30" s="9" t="s">
        <v>13</v>
      </c>
      <c r="F30">
        <v>15</v>
      </c>
      <c r="G30">
        <v>15</v>
      </c>
      <c r="H30">
        <v>0.87152777777777768</v>
      </c>
      <c r="I30" s="4">
        <f t="shared" si="4"/>
        <v>0.87499999999999989</v>
      </c>
      <c r="J30">
        <v>0</v>
      </c>
      <c r="L30" s="3">
        <v>0.87152777777777768</v>
      </c>
    </row>
    <row r="31" spans="1:12" x14ac:dyDescent="0.4">
      <c r="A31">
        <v>4</v>
      </c>
      <c r="B31" s="2">
        <v>46065</v>
      </c>
      <c r="C31" s="11" t="str">
        <f t="shared" si="0"/>
        <v>Thursday February 12</v>
      </c>
      <c r="D31" s="7" t="str">
        <f>TEXT(I31,"hh:mm")</f>
        <v>21:15</v>
      </c>
      <c r="E31" s="9" t="s">
        <v>18</v>
      </c>
      <c r="F31">
        <v>15</v>
      </c>
      <c r="G31">
        <v>15</v>
      </c>
      <c r="H31">
        <v>0.88194444444444431</v>
      </c>
      <c r="I31" s="4">
        <f t="shared" si="4"/>
        <v>0.88541666666666652</v>
      </c>
      <c r="J31">
        <v>0</v>
      </c>
      <c r="L31" s="3">
        <v>0.88194444444444431</v>
      </c>
    </row>
    <row r="32" spans="1:12" x14ac:dyDescent="0.4">
      <c r="A32">
        <v>4</v>
      </c>
      <c r="B32" s="2">
        <v>46065</v>
      </c>
      <c r="C32" s="11" t="str">
        <f t="shared" si="0"/>
        <v>Thursday February 12</v>
      </c>
      <c r="D32" s="7" t="str">
        <f>TEXT(I32,"hh:mm")</f>
        <v>21:30</v>
      </c>
      <c r="E32" s="9" t="s">
        <v>10</v>
      </c>
      <c r="F32">
        <v>30</v>
      </c>
      <c r="G32">
        <v>30</v>
      </c>
      <c r="H32">
        <v>0.89583333333333315</v>
      </c>
      <c r="I32" s="4">
        <f t="shared" si="4"/>
        <v>0.89583333333333315</v>
      </c>
      <c r="J32">
        <v>0</v>
      </c>
      <c r="L32" s="3">
        <v>0.89583333333333315</v>
      </c>
    </row>
    <row r="33" spans="1:15" x14ac:dyDescent="0.4">
      <c r="B33" s="2"/>
      <c r="C33" s="11"/>
      <c r="D33" s="7"/>
      <c r="I33" s="4"/>
      <c r="L33" s="3"/>
    </row>
    <row r="34" spans="1:15" x14ac:dyDescent="0.4">
      <c r="A34">
        <v>5</v>
      </c>
      <c r="B34" s="2">
        <v>46070</v>
      </c>
      <c r="C34" s="11" t="str">
        <f t="shared" si="0"/>
        <v>Tuesday February 17</v>
      </c>
      <c r="D34" s="7" t="str">
        <f>TEXT(I34,"hh:mm")</f>
        <v>20:00</v>
      </c>
      <c r="E34" s="9" t="s">
        <v>15</v>
      </c>
      <c r="F34">
        <v>10</v>
      </c>
      <c r="G34">
        <v>10</v>
      </c>
      <c r="H34" t="s">
        <v>20</v>
      </c>
      <c r="I34" s="4" t="str">
        <f>IF(A34=A32,I32+CONCATENATE("00:",G32),"20:00")</f>
        <v>20:00</v>
      </c>
      <c r="J34">
        <v>0</v>
      </c>
      <c r="L34" s="3">
        <v>0.83333333333333337</v>
      </c>
    </row>
    <row r="35" spans="1:15" x14ac:dyDescent="0.4">
      <c r="A35">
        <v>5</v>
      </c>
      <c r="B35" s="2">
        <v>46070</v>
      </c>
      <c r="C35" s="11" t="str">
        <f t="shared" si="0"/>
        <v>Tuesday February 17</v>
      </c>
      <c r="D35" s="7" t="str">
        <f>TEXT(I35,"hh:mm")</f>
        <v>20:10</v>
      </c>
      <c r="E35" s="9" t="s">
        <v>10</v>
      </c>
      <c r="F35">
        <v>110</v>
      </c>
      <c r="G35">
        <v>110</v>
      </c>
      <c r="H35">
        <v>0.84027777777777779</v>
      </c>
      <c r="I35" s="4">
        <f>IF(A35=A34,I34+CONCATENATE("00:",G34),"20:00")</f>
        <v>0.84027777777777779</v>
      </c>
      <c r="J35">
        <v>0</v>
      </c>
      <c r="L35" s="3">
        <v>0.84027777777777779</v>
      </c>
      <c r="N35" s="5">
        <v>0.83333333333333337</v>
      </c>
      <c r="O35" t="str">
        <f>TEXT(N35,"hh:mm")</f>
        <v>20:00</v>
      </c>
    </row>
    <row r="36" spans="1:15" x14ac:dyDescent="0.4">
      <c r="B36" s="2"/>
      <c r="C36" s="11"/>
      <c r="D36" s="7"/>
      <c r="I36" s="4"/>
      <c r="L36" s="3"/>
      <c r="N36" s="5"/>
    </row>
    <row r="37" spans="1:15" x14ac:dyDescent="0.4">
      <c r="A37">
        <v>6</v>
      </c>
      <c r="B37" s="2">
        <v>46072</v>
      </c>
      <c r="C37" s="11" t="str">
        <f>TEXT(B37,"dddd mmmm dd")</f>
        <v>Thursday February 19</v>
      </c>
      <c r="D37" s="7" t="str">
        <f>TEXT(I37,"hh:mm")</f>
        <v>20:00</v>
      </c>
      <c r="E37" s="9" t="s">
        <v>19</v>
      </c>
      <c r="F37">
        <v>15</v>
      </c>
      <c r="G37">
        <v>15</v>
      </c>
      <c r="H37">
        <v>0.86805555555555547</v>
      </c>
      <c r="I37" s="4" t="str">
        <f t="shared" ref="I37:I44" si="5">IF(A37=A36,I36+CONCATENATE("00:",G36),"20:00")</f>
        <v>20:00</v>
      </c>
      <c r="J37">
        <v>0</v>
      </c>
      <c r="L37" s="3">
        <v>0.86805555555555547</v>
      </c>
      <c r="N37" s="5">
        <v>0.87847222222222221</v>
      </c>
      <c r="O37" t="str">
        <f>TEXT(N37,"hh:mm")</f>
        <v>21:05</v>
      </c>
    </row>
    <row r="38" spans="1:15" x14ac:dyDescent="0.4">
      <c r="A38">
        <v>6</v>
      </c>
      <c r="B38" s="2">
        <v>46072</v>
      </c>
      <c r="C38" s="11" t="str">
        <f t="shared" si="0"/>
        <v>Thursday February 19</v>
      </c>
      <c r="D38" s="7" t="str">
        <f>TEXT(I38,"hh:mm")</f>
        <v>20:15</v>
      </c>
      <c r="E38" s="9" t="s">
        <v>16</v>
      </c>
      <c r="F38">
        <v>5</v>
      </c>
      <c r="G38">
        <v>5</v>
      </c>
      <c r="H38" t="s">
        <v>20</v>
      </c>
      <c r="I38" s="4">
        <f t="shared" si="5"/>
        <v>0.84375</v>
      </c>
      <c r="J38">
        <v>0</v>
      </c>
      <c r="L38" s="3">
        <v>0.83333333333333337</v>
      </c>
      <c r="N38" s="5">
        <v>0.84027777777777779</v>
      </c>
      <c r="O38" t="str">
        <f t="shared" ref="O38:O87" si="6">TEXT(N38,"hh:mm")</f>
        <v>20:10</v>
      </c>
    </row>
    <row r="39" spans="1:15" x14ac:dyDescent="0.4">
      <c r="A39">
        <v>6</v>
      </c>
      <c r="B39" s="2">
        <v>46072</v>
      </c>
      <c r="C39" s="11" t="str">
        <f t="shared" si="0"/>
        <v>Thursday February 19</v>
      </c>
      <c r="D39" s="7" t="str">
        <f>TEXT(I39,"hh:mm")</f>
        <v>20:20</v>
      </c>
      <c r="E39" s="9" t="s">
        <v>17</v>
      </c>
      <c r="F39">
        <v>5</v>
      </c>
      <c r="G39">
        <v>5</v>
      </c>
      <c r="H39">
        <v>0.83680555555555558</v>
      </c>
      <c r="I39" s="4">
        <f t="shared" si="5"/>
        <v>0.84722222222222221</v>
      </c>
      <c r="J39">
        <v>0</v>
      </c>
      <c r="L39" s="3">
        <v>0.83680555555555558</v>
      </c>
      <c r="N39" s="5">
        <v>0.84375</v>
      </c>
      <c r="O39" t="str">
        <f t="shared" si="6"/>
        <v>20:15</v>
      </c>
    </row>
    <row r="40" spans="1:15" x14ac:dyDescent="0.4">
      <c r="A40">
        <v>6</v>
      </c>
      <c r="B40" s="2">
        <v>46072</v>
      </c>
      <c r="C40" s="11" t="str">
        <f t="shared" si="0"/>
        <v>Thursday February 19</v>
      </c>
      <c r="D40" s="7" t="str">
        <f>TEXT(I40,"hh:mm")</f>
        <v>20:25</v>
      </c>
      <c r="E40" s="9" t="s">
        <v>13</v>
      </c>
      <c r="F40">
        <v>20</v>
      </c>
      <c r="G40">
        <v>20</v>
      </c>
      <c r="H40">
        <v>0.84027777777777779</v>
      </c>
      <c r="I40" s="4">
        <f t="shared" si="5"/>
        <v>0.85069444444444442</v>
      </c>
      <c r="J40">
        <v>0</v>
      </c>
      <c r="L40" s="3">
        <v>0.84027777777777779</v>
      </c>
      <c r="N40" s="5">
        <v>0.84722222222222221</v>
      </c>
      <c r="O40" t="str">
        <f t="shared" si="6"/>
        <v>20:20</v>
      </c>
    </row>
    <row r="41" spans="1:15" x14ac:dyDescent="0.4">
      <c r="A41">
        <v>6</v>
      </c>
      <c r="B41" s="2">
        <v>46072</v>
      </c>
      <c r="C41" s="11" t="str">
        <f t="shared" si="0"/>
        <v>Thursday February 19</v>
      </c>
      <c r="D41" s="7" t="str">
        <f>TEXT(I41,"hh:mm")</f>
        <v>20:45</v>
      </c>
      <c r="E41" s="9" t="s">
        <v>18</v>
      </c>
      <c r="F41">
        <v>20</v>
      </c>
      <c r="G41">
        <v>20</v>
      </c>
      <c r="H41">
        <v>0.85416666666666663</v>
      </c>
      <c r="I41" s="4">
        <f t="shared" si="5"/>
        <v>0.86458333333333326</v>
      </c>
      <c r="J41">
        <v>0</v>
      </c>
      <c r="L41" s="3">
        <v>0.85416666666666663</v>
      </c>
      <c r="N41" s="5">
        <v>0.86458333333333337</v>
      </c>
      <c r="O41" t="str">
        <f t="shared" si="6"/>
        <v>20:45</v>
      </c>
    </row>
    <row r="42" spans="1:15" x14ac:dyDescent="0.4">
      <c r="A42">
        <v>6</v>
      </c>
      <c r="B42" s="2">
        <v>46072</v>
      </c>
      <c r="C42" s="11" t="str">
        <f t="shared" si="0"/>
        <v>Thursday February 19</v>
      </c>
      <c r="D42" s="7" t="str">
        <f>TEXT(I42,"hh:mm")</f>
        <v>21:05</v>
      </c>
      <c r="E42" s="9" t="s">
        <v>11</v>
      </c>
      <c r="F42">
        <v>15</v>
      </c>
      <c r="G42">
        <v>15</v>
      </c>
      <c r="H42">
        <v>0.8784722222222221</v>
      </c>
      <c r="I42" s="4">
        <f t="shared" si="5"/>
        <v>0.8784722222222221</v>
      </c>
      <c r="J42">
        <v>0</v>
      </c>
      <c r="L42" s="3">
        <v>0.8784722222222221</v>
      </c>
      <c r="N42" s="5">
        <v>0.88888888888888884</v>
      </c>
      <c r="O42" t="str">
        <f t="shared" si="6"/>
        <v>21:20</v>
      </c>
    </row>
    <row r="43" spans="1:15" x14ac:dyDescent="0.4">
      <c r="A43">
        <v>6</v>
      </c>
      <c r="B43" s="2">
        <v>46072</v>
      </c>
      <c r="C43" s="11" t="str">
        <f t="shared" si="0"/>
        <v>Thursday February 19</v>
      </c>
      <c r="D43" s="7" t="str">
        <f>TEXT(I43,"hh:mm")</f>
        <v>21:20</v>
      </c>
      <c r="E43" s="9" t="s">
        <v>12</v>
      </c>
      <c r="F43">
        <v>10</v>
      </c>
      <c r="G43">
        <v>10</v>
      </c>
      <c r="H43">
        <v>0.88888888888888873</v>
      </c>
      <c r="I43" s="4">
        <f t="shared" si="5"/>
        <v>0.88888888888888873</v>
      </c>
      <c r="J43">
        <v>0</v>
      </c>
      <c r="L43" s="3">
        <v>0.88888888888888873</v>
      </c>
      <c r="N43" s="5">
        <v>0.89583333333333337</v>
      </c>
      <c r="O43" t="str">
        <f t="shared" si="6"/>
        <v>21:30</v>
      </c>
    </row>
    <row r="44" spans="1:15" ht="15.75" customHeight="1" x14ac:dyDescent="0.4">
      <c r="A44">
        <v>6</v>
      </c>
      <c r="B44" s="2">
        <v>46072</v>
      </c>
      <c r="C44" s="11" t="str">
        <f t="shared" si="0"/>
        <v>Thursday February 19</v>
      </c>
      <c r="D44" s="7" t="str">
        <f>TEXT(I44,"hh:mm")</f>
        <v>21:30</v>
      </c>
      <c r="E44" s="9" t="s">
        <v>10</v>
      </c>
      <c r="F44">
        <v>30</v>
      </c>
      <c r="G44">
        <v>30</v>
      </c>
      <c r="H44">
        <v>0.89583333333333315</v>
      </c>
      <c r="I44" s="4">
        <f t="shared" si="5"/>
        <v>0.89583333333333315</v>
      </c>
      <c r="J44">
        <v>0</v>
      </c>
      <c r="L44" s="3">
        <v>0.89583333333333315</v>
      </c>
      <c r="N44" s="5">
        <v>0.83333333333333337</v>
      </c>
      <c r="O44" t="str">
        <f t="shared" si="6"/>
        <v>20:00</v>
      </c>
    </row>
    <row r="45" spans="1:15" ht="15.75" customHeight="1" x14ac:dyDescent="0.4">
      <c r="B45" s="2"/>
      <c r="C45" s="11"/>
      <c r="D45" s="7"/>
      <c r="I45" s="4"/>
      <c r="L45" s="3"/>
      <c r="N45" s="5"/>
    </row>
    <row r="46" spans="1:15" x14ac:dyDescent="0.4">
      <c r="A46">
        <v>7</v>
      </c>
      <c r="B46" s="2">
        <v>46077</v>
      </c>
      <c r="C46" s="11" t="str">
        <f t="shared" si="0"/>
        <v>Tuesday February 24</v>
      </c>
      <c r="D46" s="7" t="str">
        <f>TEXT(I46,"hh:mm")</f>
        <v>20:00</v>
      </c>
      <c r="E46" s="9" t="s">
        <v>14</v>
      </c>
      <c r="F46">
        <v>10</v>
      </c>
      <c r="G46">
        <v>10</v>
      </c>
      <c r="H46" t="s">
        <v>20</v>
      </c>
      <c r="I46" s="4" t="str">
        <f>IF(A46=A44,I44+CONCATENATE("00:",G44),"20:00")</f>
        <v>20:00</v>
      </c>
      <c r="J46">
        <v>0</v>
      </c>
      <c r="L46" s="3">
        <v>0.83333333333333337</v>
      </c>
      <c r="N46" s="5">
        <v>0.84375</v>
      </c>
      <c r="O46" t="str">
        <f t="shared" si="6"/>
        <v>20:15</v>
      </c>
    </row>
    <row r="47" spans="1:15" x14ac:dyDescent="0.4">
      <c r="A47">
        <v>7</v>
      </c>
      <c r="B47" s="2">
        <v>46077</v>
      </c>
      <c r="C47" s="11" t="str">
        <f t="shared" si="0"/>
        <v>Tuesday February 24</v>
      </c>
      <c r="D47" s="7" t="str">
        <f>TEXT(I47,"hh:mm")</f>
        <v>20:10</v>
      </c>
      <c r="E47" s="9" t="s">
        <v>10</v>
      </c>
      <c r="F47">
        <v>110</v>
      </c>
      <c r="G47">
        <v>110</v>
      </c>
      <c r="H47">
        <v>0.84027777777777779</v>
      </c>
      <c r="I47" s="4">
        <f t="shared" si="1"/>
        <v>0.84027777777777779</v>
      </c>
      <c r="J47">
        <v>0</v>
      </c>
      <c r="L47" s="3">
        <v>0.84027777777777779</v>
      </c>
      <c r="N47" s="5">
        <v>0.86458333333333337</v>
      </c>
      <c r="O47" t="str">
        <f t="shared" si="6"/>
        <v>20:45</v>
      </c>
    </row>
    <row r="48" spans="1:15" x14ac:dyDescent="0.4">
      <c r="B48" s="2"/>
      <c r="C48" s="11"/>
      <c r="D48" s="7"/>
      <c r="I48" s="4"/>
      <c r="L48" s="3"/>
      <c r="N48" s="5"/>
    </row>
    <row r="49" spans="1:15" x14ac:dyDescent="0.4">
      <c r="A49">
        <v>8</v>
      </c>
      <c r="B49" s="2">
        <v>46083</v>
      </c>
      <c r="C49" s="11" t="str">
        <f t="shared" si="0"/>
        <v>Monday March 02</v>
      </c>
      <c r="D49" s="7" t="str">
        <f>TEXT(I49,"hh:mm")</f>
        <v>20:00</v>
      </c>
      <c r="E49" s="9" t="s">
        <v>15</v>
      </c>
      <c r="F49">
        <v>5</v>
      </c>
      <c r="G49">
        <v>5</v>
      </c>
      <c r="H49" t="s">
        <v>20</v>
      </c>
      <c r="I49" s="4" t="str">
        <f>IF(A49=A47,I47+CONCATENATE("00:",G47),"20:00")</f>
        <v>20:00</v>
      </c>
      <c r="J49">
        <v>0</v>
      </c>
      <c r="L49" s="3">
        <v>0.83333333333333337</v>
      </c>
      <c r="N49" s="5">
        <v>0.88541666666666663</v>
      </c>
      <c r="O49" t="str">
        <f t="shared" si="6"/>
        <v>21:15</v>
      </c>
    </row>
    <row r="50" spans="1:15" x14ac:dyDescent="0.4">
      <c r="A50">
        <v>8</v>
      </c>
      <c r="B50" s="2">
        <v>46083</v>
      </c>
      <c r="C50" s="11" t="str">
        <f t="shared" si="0"/>
        <v>Monday March 02</v>
      </c>
      <c r="D50" s="7" t="str">
        <f>TEXT(I50,"hh:mm")</f>
        <v>20:05</v>
      </c>
      <c r="E50" s="9" t="s">
        <v>17</v>
      </c>
      <c r="F50">
        <v>5</v>
      </c>
      <c r="G50">
        <v>5</v>
      </c>
      <c r="H50">
        <v>0.83680555555555558</v>
      </c>
      <c r="I50" s="4">
        <f t="shared" si="1"/>
        <v>0.83680555555555558</v>
      </c>
      <c r="J50">
        <v>0</v>
      </c>
      <c r="L50" s="3">
        <v>0.83680555555555558</v>
      </c>
      <c r="N50" s="5">
        <v>0.89930555555555558</v>
      </c>
      <c r="O50" t="str">
        <f t="shared" si="6"/>
        <v>21:35</v>
      </c>
    </row>
    <row r="51" spans="1:15" x14ac:dyDescent="0.4">
      <c r="A51">
        <v>8</v>
      </c>
      <c r="B51" s="2">
        <v>46083</v>
      </c>
      <c r="C51" s="11" t="str">
        <f t="shared" si="0"/>
        <v>Monday March 02</v>
      </c>
      <c r="D51" s="7" t="str">
        <f>TEXT(I51,"hh:mm")</f>
        <v>20:10</v>
      </c>
      <c r="E51" s="9" t="s">
        <v>16</v>
      </c>
      <c r="F51">
        <v>5</v>
      </c>
      <c r="G51">
        <v>5</v>
      </c>
      <c r="H51">
        <v>0.84027777777777779</v>
      </c>
      <c r="I51" s="4">
        <f t="shared" si="1"/>
        <v>0.84027777777777779</v>
      </c>
      <c r="J51">
        <v>0</v>
      </c>
      <c r="L51" s="3">
        <v>0.84027777777777779</v>
      </c>
      <c r="N51" s="5">
        <v>0.91319444444444442</v>
      </c>
      <c r="O51" t="str">
        <f t="shared" si="6"/>
        <v>21:55</v>
      </c>
    </row>
    <row r="52" spans="1:15" x14ac:dyDescent="0.4">
      <c r="A52">
        <v>8</v>
      </c>
      <c r="B52" s="2">
        <v>46083</v>
      </c>
      <c r="C52" s="11" t="str">
        <f t="shared" si="0"/>
        <v>Monday March 02</v>
      </c>
      <c r="D52" s="7" t="str">
        <f>TEXT(I52,"hh:mm")</f>
        <v>20:15</v>
      </c>
      <c r="E52" s="9" t="s">
        <v>13</v>
      </c>
      <c r="F52">
        <v>10</v>
      </c>
      <c r="G52">
        <v>10</v>
      </c>
      <c r="H52">
        <v>0.84375</v>
      </c>
      <c r="I52" s="4">
        <f t="shared" si="1"/>
        <v>0.84375</v>
      </c>
      <c r="J52">
        <v>0</v>
      </c>
      <c r="L52" s="3">
        <v>0.84375</v>
      </c>
      <c r="N52" s="5">
        <v>0.83333333333333337</v>
      </c>
      <c r="O52" t="str">
        <f t="shared" si="6"/>
        <v>20:00</v>
      </c>
    </row>
    <row r="53" spans="1:15" x14ac:dyDescent="0.4">
      <c r="A53">
        <v>8</v>
      </c>
      <c r="B53" s="2">
        <v>46083</v>
      </c>
      <c r="C53" s="11" t="str">
        <f t="shared" si="0"/>
        <v>Monday March 02</v>
      </c>
      <c r="D53" s="7" t="str">
        <f>TEXT(I53,"hh:mm")</f>
        <v>20:25</v>
      </c>
      <c r="E53" s="9" t="s">
        <v>12</v>
      </c>
      <c r="F53">
        <v>10</v>
      </c>
      <c r="G53">
        <v>10</v>
      </c>
      <c r="H53">
        <v>0.85069444444444442</v>
      </c>
      <c r="I53" s="4">
        <f t="shared" si="1"/>
        <v>0.85069444444444442</v>
      </c>
      <c r="J53">
        <v>0</v>
      </c>
      <c r="L53" s="3">
        <v>0.85069444444444442</v>
      </c>
      <c r="N53" s="5">
        <v>0.84027777777777779</v>
      </c>
      <c r="O53" t="str">
        <f t="shared" si="6"/>
        <v>20:10</v>
      </c>
    </row>
    <row r="54" spans="1:15" x14ac:dyDescent="0.4">
      <c r="A54">
        <v>8</v>
      </c>
      <c r="B54" s="2">
        <v>46083</v>
      </c>
      <c r="C54" s="11" t="str">
        <f t="shared" si="0"/>
        <v>Monday March 02</v>
      </c>
      <c r="D54" s="7" t="str">
        <f>TEXT(I54,"hh:mm")</f>
        <v>20:35</v>
      </c>
      <c r="E54" s="9" t="s">
        <v>18</v>
      </c>
      <c r="F54">
        <v>10</v>
      </c>
      <c r="G54">
        <v>10</v>
      </c>
      <c r="H54">
        <v>0.85763888888888884</v>
      </c>
      <c r="I54" s="4">
        <f t="shared" si="1"/>
        <v>0.85763888888888884</v>
      </c>
      <c r="J54">
        <v>0</v>
      </c>
      <c r="L54" s="3">
        <v>0.85763888888888884</v>
      </c>
      <c r="N54" s="5">
        <v>0.86111111111111116</v>
      </c>
      <c r="O54" t="str">
        <f t="shared" si="6"/>
        <v>20:40</v>
      </c>
    </row>
    <row r="55" spans="1:15" x14ac:dyDescent="0.4">
      <c r="A55">
        <v>8</v>
      </c>
      <c r="B55" s="2">
        <v>46083</v>
      </c>
      <c r="C55" s="11" t="str">
        <f t="shared" si="0"/>
        <v>Monday March 02</v>
      </c>
      <c r="D55" s="7" t="str">
        <f>TEXT(I55,"hh:mm")</f>
        <v>20:45</v>
      </c>
      <c r="E55" s="9" t="s">
        <v>11</v>
      </c>
      <c r="F55">
        <v>10</v>
      </c>
      <c r="G55">
        <v>10</v>
      </c>
      <c r="H55">
        <v>0.86458333333333326</v>
      </c>
      <c r="I55" s="4">
        <f t="shared" si="1"/>
        <v>0.86458333333333326</v>
      </c>
      <c r="J55">
        <v>0</v>
      </c>
      <c r="L55" s="3">
        <v>0.86458333333333326</v>
      </c>
      <c r="N55" s="5">
        <v>0.88194444444444442</v>
      </c>
      <c r="O55" t="str">
        <f t="shared" si="6"/>
        <v>21:10</v>
      </c>
    </row>
    <row r="56" spans="1:15" x14ac:dyDescent="0.4">
      <c r="A56">
        <v>8</v>
      </c>
      <c r="B56" s="2">
        <v>46083</v>
      </c>
      <c r="C56" s="11" t="str">
        <f t="shared" si="0"/>
        <v>Monday March 02</v>
      </c>
      <c r="D56" s="7" t="str">
        <f>TEXT(I56,"hh:mm")</f>
        <v>20:55</v>
      </c>
      <c r="E56" s="9" t="s">
        <v>19</v>
      </c>
      <c r="F56">
        <v>5</v>
      </c>
      <c r="G56">
        <v>5</v>
      </c>
      <c r="H56">
        <v>0.87152777777777768</v>
      </c>
      <c r="I56" s="4">
        <f t="shared" si="1"/>
        <v>0.87152777777777768</v>
      </c>
      <c r="J56">
        <v>0</v>
      </c>
      <c r="L56" s="3">
        <v>0.87152777777777768</v>
      </c>
      <c r="N56" s="5">
        <v>0.89583333333333337</v>
      </c>
      <c r="O56" t="str">
        <f t="shared" si="6"/>
        <v>21:30</v>
      </c>
    </row>
    <row r="57" spans="1:15" x14ac:dyDescent="0.4">
      <c r="A57">
        <v>8</v>
      </c>
      <c r="B57" s="2">
        <v>46083</v>
      </c>
      <c r="C57" s="11" t="str">
        <f t="shared" si="0"/>
        <v>Monday March 02</v>
      </c>
      <c r="D57" s="7" t="str">
        <f>TEXT(I57,"hh:mm")</f>
        <v>21:00</v>
      </c>
      <c r="E57" s="9" t="s">
        <v>14</v>
      </c>
      <c r="F57">
        <v>5</v>
      </c>
      <c r="G57">
        <v>5</v>
      </c>
      <c r="H57">
        <v>0.87499999999999989</v>
      </c>
      <c r="I57" s="4">
        <f t="shared" si="1"/>
        <v>0.87499999999999989</v>
      </c>
      <c r="J57">
        <v>0</v>
      </c>
      <c r="L57" s="3">
        <v>0.87499999999999989</v>
      </c>
      <c r="N57" s="5">
        <v>0.90972222222222221</v>
      </c>
      <c r="O57" t="str">
        <f t="shared" si="6"/>
        <v>21:50</v>
      </c>
    </row>
    <row r="58" spans="1:15" x14ac:dyDescent="0.4">
      <c r="A58">
        <v>8</v>
      </c>
      <c r="B58" s="2">
        <v>46083</v>
      </c>
      <c r="C58" s="11" t="str">
        <f t="shared" si="0"/>
        <v>Monday March 02</v>
      </c>
      <c r="D58" s="7" t="str">
        <f>TEXT(I58,"hh:mm")</f>
        <v>21:05</v>
      </c>
      <c r="E58" s="9" t="s">
        <v>10</v>
      </c>
      <c r="F58">
        <v>55</v>
      </c>
      <c r="G58">
        <v>55</v>
      </c>
      <c r="H58">
        <v>0.8784722222222221</v>
      </c>
      <c r="I58" s="4">
        <f t="shared" si="1"/>
        <v>0.8784722222222221</v>
      </c>
      <c r="J58">
        <v>0</v>
      </c>
      <c r="L58" s="3">
        <v>0.8784722222222221</v>
      </c>
      <c r="N58" s="5">
        <v>0.83333333333333337</v>
      </c>
      <c r="O58" t="str">
        <f t="shared" si="6"/>
        <v>20:00</v>
      </c>
    </row>
    <row r="59" spans="1:15" x14ac:dyDescent="0.4">
      <c r="N59" s="5">
        <v>0.84027777777777779</v>
      </c>
      <c r="O59" t="str">
        <f t="shared" si="6"/>
        <v>20:10</v>
      </c>
    </row>
    <row r="60" spans="1:15" x14ac:dyDescent="0.4">
      <c r="N60" s="5">
        <v>0.84375</v>
      </c>
      <c r="O60" t="str">
        <f t="shared" si="6"/>
        <v>20:15</v>
      </c>
    </row>
    <row r="61" spans="1:15" x14ac:dyDescent="0.4">
      <c r="N61" s="5">
        <v>0.85763888888888884</v>
      </c>
      <c r="O61" t="str">
        <f t="shared" si="6"/>
        <v>20:35</v>
      </c>
    </row>
    <row r="62" spans="1:15" x14ac:dyDescent="0.4">
      <c r="N62" s="5">
        <v>0.87152777777777779</v>
      </c>
      <c r="O62" t="str">
        <f t="shared" si="6"/>
        <v>20:55</v>
      </c>
    </row>
    <row r="63" spans="1:15" x14ac:dyDescent="0.4">
      <c r="N63" s="5">
        <v>0.88194444444444442</v>
      </c>
      <c r="O63" t="str">
        <f t="shared" si="6"/>
        <v>21:10</v>
      </c>
    </row>
    <row r="64" spans="1:15" x14ac:dyDescent="0.4">
      <c r="N64" s="5">
        <v>0.89236111111111116</v>
      </c>
      <c r="O64" t="str">
        <f t="shared" si="6"/>
        <v>21:25</v>
      </c>
    </row>
    <row r="65" spans="14:15" x14ac:dyDescent="0.4">
      <c r="N65" s="5">
        <v>0.89583333333333337</v>
      </c>
      <c r="O65" t="str">
        <f t="shared" si="6"/>
        <v>21:30</v>
      </c>
    </row>
    <row r="66" spans="14:15" x14ac:dyDescent="0.4">
      <c r="N66" s="5">
        <v>0.83333333333333337</v>
      </c>
      <c r="O66" t="str">
        <f t="shared" si="6"/>
        <v>20:00</v>
      </c>
    </row>
    <row r="67" spans="14:15" x14ac:dyDescent="0.4">
      <c r="N67" s="5">
        <v>0.84027777777777779</v>
      </c>
      <c r="O67" t="str">
        <f t="shared" si="6"/>
        <v>20:10</v>
      </c>
    </row>
    <row r="68" spans="14:15" x14ac:dyDescent="0.4">
      <c r="N68" s="5">
        <v>0.83333333333333337</v>
      </c>
      <c r="O68" t="str">
        <f t="shared" si="6"/>
        <v>20:00</v>
      </c>
    </row>
    <row r="69" spans="14:15" x14ac:dyDescent="0.4">
      <c r="N69" s="5">
        <v>0.83680555555555558</v>
      </c>
      <c r="O69" t="str">
        <f t="shared" si="6"/>
        <v>20:05</v>
      </c>
    </row>
    <row r="70" spans="14:15" x14ac:dyDescent="0.4">
      <c r="N70" s="5">
        <v>0.84027777777777779</v>
      </c>
      <c r="O70" t="str">
        <f t="shared" si="6"/>
        <v>20:10</v>
      </c>
    </row>
    <row r="71" spans="14:15" x14ac:dyDescent="0.4">
      <c r="N71" s="5">
        <v>0.85416666666666663</v>
      </c>
      <c r="O71" t="str">
        <f t="shared" si="6"/>
        <v>20:30</v>
      </c>
    </row>
    <row r="72" spans="14:15" x14ac:dyDescent="0.4">
      <c r="N72" s="5">
        <v>0.86805555555555558</v>
      </c>
      <c r="O72" t="str">
        <f t="shared" si="6"/>
        <v>20:50</v>
      </c>
    </row>
    <row r="73" spans="14:15" x14ac:dyDescent="0.4">
      <c r="N73" s="5">
        <v>0.87847222222222221</v>
      </c>
      <c r="O73" t="str">
        <f t="shared" si="6"/>
        <v>21:05</v>
      </c>
    </row>
    <row r="74" spans="14:15" x14ac:dyDescent="0.4">
      <c r="N74" s="5">
        <v>0.88888888888888884</v>
      </c>
      <c r="O74" t="str">
        <f t="shared" si="6"/>
        <v>21:20</v>
      </c>
    </row>
    <row r="75" spans="14:15" x14ac:dyDescent="0.4">
      <c r="N75" s="5">
        <v>0.89583333333333337</v>
      </c>
      <c r="O75" t="str">
        <f t="shared" si="6"/>
        <v>21:30</v>
      </c>
    </row>
    <row r="76" spans="14:15" x14ac:dyDescent="0.4">
      <c r="N76" s="5">
        <v>0.83333333333333337</v>
      </c>
      <c r="O76" t="str">
        <f t="shared" si="6"/>
        <v>20:00</v>
      </c>
    </row>
    <row r="77" spans="14:15" x14ac:dyDescent="0.4">
      <c r="N77" s="5">
        <v>0.84027777777777779</v>
      </c>
      <c r="O77" t="str">
        <f t="shared" si="6"/>
        <v>20:10</v>
      </c>
    </row>
    <row r="78" spans="14:15" x14ac:dyDescent="0.4">
      <c r="N78" s="5">
        <v>0.83333333333333337</v>
      </c>
      <c r="O78" t="str">
        <f t="shared" si="6"/>
        <v>20:00</v>
      </c>
    </row>
    <row r="79" spans="14:15" x14ac:dyDescent="0.4">
      <c r="N79" s="5">
        <v>0.83680555555555558</v>
      </c>
      <c r="O79" t="str">
        <f t="shared" si="6"/>
        <v>20:05</v>
      </c>
    </row>
    <row r="80" spans="14:15" x14ac:dyDescent="0.4">
      <c r="N80" s="5">
        <v>0.84027777777777779</v>
      </c>
      <c r="O80" t="str">
        <f t="shared" si="6"/>
        <v>20:10</v>
      </c>
    </row>
    <row r="81" spans="14:15" x14ac:dyDescent="0.4">
      <c r="N81" s="5">
        <v>0.84375</v>
      </c>
      <c r="O81" t="str">
        <f t="shared" si="6"/>
        <v>20:15</v>
      </c>
    </row>
    <row r="82" spans="14:15" x14ac:dyDescent="0.4">
      <c r="N82" s="5">
        <v>0.85069444444444442</v>
      </c>
      <c r="O82" t="str">
        <f t="shared" si="6"/>
        <v>20:25</v>
      </c>
    </row>
    <row r="83" spans="14:15" x14ac:dyDescent="0.4">
      <c r="N83" s="5">
        <v>0.85763888888888884</v>
      </c>
      <c r="O83" t="str">
        <f t="shared" si="6"/>
        <v>20:35</v>
      </c>
    </row>
    <row r="84" spans="14:15" x14ac:dyDescent="0.4">
      <c r="N84" s="5">
        <v>0.86458333333333337</v>
      </c>
      <c r="O84" t="str">
        <f t="shared" si="6"/>
        <v>20:45</v>
      </c>
    </row>
    <row r="85" spans="14:15" x14ac:dyDescent="0.4">
      <c r="N85" s="5">
        <v>0.87152777777777779</v>
      </c>
      <c r="O85" t="str">
        <f t="shared" si="6"/>
        <v>20:55</v>
      </c>
    </row>
    <row r="86" spans="14:15" x14ac:dyDescent="0.4">
      <c r="N86" s="5">
        <v>0.875</v>
      </c>
      <c r="O86" t="str">
        <f t="shared" si="6"/>
        <v>21:00</v>
      </c>
    </row>
    <row r="87" spans="14:15" x14ac:dyDescent="0.4">
      <c r="N87" s="5">
        <v>0.87847222222222221</v>
      </c>
      <c r="O87" t="str">
        <f t="shared" si="6"/>
        <v>21:05</v>
      </c>
    </row>
  </sheetData>
  <conditionalFormatting sqref="A1:A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Capstaff</cp:lastModifiedBy>
  <dcterms:created xsi:type="dcterms:W3CDTF">2026-01-18T13:11:55Z</dcterms:created>
  <dcterms:modified xsi:type="dcterms:W3CDTF">2026-01-19T13:41:44Z</dcterms:modified>
</cp:coreProperties>
</file>