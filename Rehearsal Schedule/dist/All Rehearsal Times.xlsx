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dist/"/>
    </mc:Choice>
  </mc:AlternateContent>
  <xr:revisionPtr revIDLastSave="73" documentId="11_7B55DCE8F00496464A3C34ADD0F6E58C74526C9D" xr6:coauthVersionLast="47" xr6:coauthVersionMax="47" xr10:uidLastSave="{267153DA-7812-4853-B2ED-471D0FDE75AF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P12" i="1"/>
  <c r="P11" i="1"/>
  <c r="P10" i="1"/>
  <c r="P9" i="1"/>
  <c r="P8" i="1"/>
  <c r="P7" i="1"/>
  <c r="P6" i="1"/>
  <c r="P5" i="1"/>
  <c r="P4" i="1"/>
  <c r="P3" i="1"/>
  <c r="P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L12" i="1"/>
  <c r="L11" i="1"/>
  <c r="L10" i="1"/>
  <c r="L9" i="1"/>
  <c r="L8" i="1"/>
  <c r="L7" i="1"/>
  <c r="L6" i="1"/>
  <c r="L5" i="1"/>
  <c r="L4" i="1"/>
  <c r="L3" i="1"/>
  <c r="L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H12" i="1"/>
  <c r="H11" i="1"/>
  <c r="H10" i="1"/>
  <c r="H9" i="1"/>
  <c r="H8" i="1"/>
  <c r="H7" i="1"/>
  <c r="H6" i="1"/>
  <c r="H5" i="1"/>
  <c r="H4" i="1"/>
  <c r="H3" i="1"/>
  <c r="H2" i="1"/>
  <c r="U2" i="1" s="1"/>
  <c r="U3" i="1"/>
  <c r="O13" i="1"/>
  <c r="G13" i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</calcChain>
</file>

<file path=xl/sharedStrings.xml><?xml version="1.0" encoding="utf-8"?>
<sst xmlns="http://schemas.openxmlformats.org/spreadsheetml/2006/main" count="94" uniqueCount="23">
  <si>
    <t>composer</t>
  </si>
  <si>
    <t>title</t>
  </si>
  <si>
    <t>duration</t>
  </si>
  <si>
    <t>difficulty</t>
  </si>
  <si>
    <t>required_minutes</t>
  </si>
  <si>
    <t>Time Remaining</t>
  </si>
  <si>
    <t>Rehearsal 1</t>
  </si>
  <si>
    <t>Rehearsal 2</t>
  </si>
  <si>
    <t>Rehearsal 3</t>
  </si>
  <si>
    <t>Candide (snell)</t>
  </si>
  <si>
    <t>Jurassic Park</t>
  </si>
  <si>
    <t>Out of Africa</t>
  </si>
  <si>
    <t>Indiana Jones</t>
  </si>
  <si>
    <t>Whiplash</t>
  </si>
  <si>
    <t>Fantasy of Joy</t>
  </si>
  <si>
    <t>Prelude from Downland</t>
  </si>
  <si>
    <t>Nocturne from Moorside Suite</t>
  </si>
  <si>
    <t>March from Kenilworth</t>
  </si>
  <si>
    <t>In Perfect Peace</t>
  </si>
  <si>
    <t>Hyperdrive</t>
  </si>
  <si>
    <t>Terra Australis</t>
  </si>
  <si>
    <t xml:space="preserve">Candide </t>
  </si>
  <si>
    <t>Candide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</si>
</sst>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2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selection activeCell="E39" sqref="E39"/>
    </sheetView>
  </sheetViews>
  <sheetFormatPr defaultRowHeight="15" x14ac:dyDescent="0.25"/>
  <cols>
    <col min="2" max="2" width="28.42578125" bestFit="1" customWidth="1"/>
    <col min="10" max="10" width="28.42578125" bestFit="1" customWidth="1"/>
    <col min="14" max="14" width="28.42578125" bestFit="1" customWidth="1"/>
    <col min="18" max="18" width="28.42578125" bestFit="1" customWidth="1"/>
    <col min="21" max="21" width="17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3">
        <v>0.83333333333333337</v>
      </c>
      <c r="J1" s="1" t="s">
        <v>1</v>
      </c>
      <c r="K1" s="1" t="s">
        <v>7</v>
      </c>
      <c r="L1" s="1"/>
      <c r="M1" s="3">
        <v>0.83333333333333337</v>
      </c>
      <c r="N1" s="1" t="s">
        <v>1</v>
      </c>
      <c r="O1" s="1" t="s">
        <v>8</v>
      </c>
      <c r="P1" s="1"/>
      <c r="Q1" s="3">
        <v>0.83333333333333337</v>
      </c>
      <c r="R1" s="1" t="s">
        <v>1</v>
      </c>
    </row>
    <row r="2" spans="1:22" x14ac:dyDescent="0.25">
      <c r="A2">
        <v>0</v>
      </c>
      <c r="B2" t="s">
        <v>9</v>
      </c>
      <c r="C2">
        <v>6</v>
      </c>
      <c r="D2">
        <v>6</v>
      </c>
      <c r="E2">
        <v>25</v>
      </c>
      <c r="F2">
        <v>5</v>
      </c>
      <c r="G2">
        <v>15</v>
      </c>
      <c r="H2" t="str">
        <f>IF(LEN(G2)=1,CONCATENATE("00:0",G2),CONCATENATE("00:",G2))</f>
        <v>00:15</v>
      </c>
      <c r="I2" s="2">
        <v>0.83333333333333337</v>
      </c>
      <c r="J2" t="s">
        <v>9</v>
      </c>
      <c r="K2">
        <v>0</v>
      </c>
      <c r="L2" t="str">
        <f>IF(LEN(K2)=1,CONCATENATE("00:0",K2),CONCATENATE("00:",K2))</f>
        <v>00:00</v>
      </c>
      <c r="M2" s="2">
        <v>0.83333333333333337</v>
      </c>
      <c r="N2" t="s">
        <v>9</v>
      </c>
      <c r="O2">
        <v>10</v>
      </c>
      <c r="P2" t="str">
        <f>IF(LEN(O2)=1,CONCATENATE("00:0",O2),CONCATENATE("00:",O2))</f>
        <v>00:10</v>
      </c>
      <c r="Q2" s="2">
        <v>0.83333333333333337</v>
      </c>
      <c r="R2" t="s">
        <v>9</v>
      </c>
      <c r="T2" s="2">
        <v>0.83333333333333337</v>
      </c>
      <c r="U2" s="2">
        <f>T2+H2</f>
        <v>0.84375</v>
      </c>
    </row>
    <row r="3" spans="1:22" x14ac:dyDescent="0.25">
      <c r="A3">
        <v>0</v>
      </c>
      <c r="B3" t="s">
        <v>18</v>
      </c>
      <c r="C3">
        <v>5</v>
      </c>
      <c r="D3">
        <v>4</v>
      </c>
      <c r="E3">
        <v>20</v>
      </c>
      <c r="F3">
        <v>0</v>
      </c>
      <c r="G3">
        <v>5</v>
      </c>
      <c r="H3" t="str">
        <f t="shared" ref="H3:L12" si="0">IF(LEN(G3)=1,CONCATENATE("00:0",G3),CONCATENATE("00:",G3))</f>
        <v>00:05</v>
      </c>
      <c r="I3" s="2">
        <f>I2+H2</f>
        <v>0.84375</v>
      </c>
      <c r="J3" t="s">
        <v>18</v>
      </c>
      <c r="K3">
        <v>0</v>
      </c>
      <c r="L3" t="str">
        <f t="shared" si="0"/>
        <v>00:00</v>
      </c>
      <c r="M3" s="2">
        <f>M2+L2</f>
        <v>0.83333333333333337</v>
      </c>
      <c r="N3" t="s">
        <v>18</v>
      </c>
      <c r="O3">
        <v>10</v>
      </c>
      <c r="P3" t="str">
        <f t="shared" ref="P3" si="1">IF(LEN(O3)=1,CONCATENATE("00:0",O3),CONCATENATE("00:",O3))</f>
        <v>00:10</v>
      </c>
      <c r="Q3" s="2">
        <f>Q2+P2</f>
        <v>0.84027777777777779</v>
      </c>
      <c r="R3" t="s">
        <v>18</v>
      </c>
      <c r="T3" s="2">
        <v>0.83680555555555558</v>
      </c>
      <c r="U3" s="2">
        <f>T3-T2</f>
        <v>3.4722222222222099E-3</v>
      </c>
      <c r="V3" s="2"/>
    </row>
    <row r="4" spans="1:22" x14ac:dyDescent="0.25">
      <c r="A4">
        <v>0</v>
      </c>
      <c r="B4" t="s">
        <v>10</v>
      </c>
      <c r="C4">
        <v>5</v>
      </c>
      <c r="D4">
        <v>4</v>
      </c>
      <c r="E4">
        <v>15</v>
      </c>
      <c r="F4">
        <v>-5</v>
      </c>
      <c r="G4">
        <v>0</v>
      </c>
      <c r="H4" t="str">
        <f t="shared" si="0"/>
        <v>00:00</v>
      </c>
      <c r="I4" s="2">
        <f t="shared" ref="I4:I13" si="2">I3+H3</f>
        <v>0.84722222222222221</v>
      </c>
      <c r="J4" t="s">
        <v>10</v>
      </c>
      <c r="K4">
        <v>10</v>
      </c>
      <c r="L4" t="str">
        <f t="shared" si="0"/>
        <v>00:10</v>
      </c>
      <c r="M4" s="2">
        <f t="shared" ref="M4:M13" si="3">M3+L3</f>
        <v>0.83333333333333337</v>
      </c>
      <c r="N4" t="s">
        <v>10</v>
      </c>
      <c r="O4">
        <v>0</v>
      </c>
      <c r="P4" t="str">
        <f t="shared" ref="P4" si="4">IF(LEN(O4)=1,CONCATENATE("00:0",O4),CONCATENATE("00:",O4))</f>
        <v>00:00</v>
      </c>
      <c r="Q4" s="2">
        <f t="shared" ref="Q4:Q13" si="5">Q3+P3</f>
        <v>0.84722222222222221</v>
      </c>
      <c r="R4" t="s">
        <v>10</v>
      </c>
      <c r="T4" s="2">
        <v>0.84027777777777779</v>
      </c>
    </row>
    <row r="5" spans="1:22" x14ac:dyDescent="0.25">
      <c r="A5">
        <v>0</v>
      </c>
      <c r="B5" t="s">
        <v>11</v>
      </c>
      <c r="C5">
        <v>4</v>
      </c>
      <c r="D5">
        <v>3</v>
      </c>
      <c r="E5">
        <v>5</v>
      </c>
      <c r="F5">
        <v>-5</v>
      </c>
      <c r="G5">
        <v>5</v>
      </c>
      <c r="H5" t="str">
        <f t="shared" si="0"/>
        <v>00:05</v>
      </c>
      <c r="I5" s="2">
        <f t="shared" si="2"/>
        <v>0.84722222222222221</v>
      </c>
      <c r="J5" t="s">
        <v>11</v>
      </c>
      <c r="K5">
        <v>0</v>
      </c>
      <c r="L5" t="str">
        <f t="shared" si="0"/>
        <v>00:00</v>
      </c>
      <c r="M5" s="2">
        <f t="shared" si="3"/>
        <v>0.84027777777777779</v>
      </c>
      <c r="N5" t="s">
        <v>11</v>
      </c>
      <c r="O5">
        <v>5</v>
      </c>
      <c r="P5" t="str">
        <f t="shared" ref="P5" si="6">IF(LEN(O5)=1,CONCATENATE("00:0",O5),CONCATENATE("00:",O5))</f>
        <v>00:05</v>
      </c>
      <c r="Q5" s="2">
        <f t="shared" si="5"/>
        <v>0.84722222222222221</v>
      </c>
      <c r="R5" t="s">
        <v>11</v>
      </c>
      <c r="T5" s="2">
        <v>0.84375</v>
      </c>
    </row>
    <row r="6" spans="1:22" x14ac:dyDescent="0.25">
      <c r="A6">
        <v>0</v>
      </c>
      <c r="B6" t="s">
        <v>12</v>
      </c>
      <c r="C6">
        <v>6</v>
      </c>
      <c r="D6">
        <v>4</v>
      </c>
      <c r="E6">
        <v>15</v>
      </c>
      <c r="F6">
        <v>-5</v>
      </c>
      <c r="G6">
        <v>10</v>
      </c>
      <c r="H6" t="str">
        <f t="shared" si="0"/>
        <v>00:10</v>
      </c>
      <c r="I6" s="2">
        <f t="shared" si="2"/>
        <v>0.85069444444444442</v>
      </c>
      <c r="J6" t="s">
        <v>12</v>
      </c>
      <c r="K6">
        <v>0</v>
      </c>
      <c r="L6" t="str">
        <f t="shared" si="0"/>
        <v>00:00</v>
      </c>
      <c r="M6" s="2">
        <f t="shared" si="3"/>
        <v>0.84027777777777779</v>
      </c>
      <c r="N6" t="s">
        <v>12</v>
      </c>
      <c r="O6">
        <v>10</v>
      </c>
      <c r="P6" t="str">
        <f t="shared" ref="P6" si="7">IF(LEN(O6)=1,CONCATENATE("00:0",O6),CONCATENATE("00:",O6))</f>
        <v>00:10</v>
      </c>
      <c r="Q6" s="2">
        <f t="shared" si="5"/>
        <v>0.85069444444444442</v>
      </c>
      <c r="R6" t="s">
        <v>12</v>
      </c>
      <c r="T6" s="2">
        <v>0.84722222222222199</v>
      </c>
    </row>
    <row r="7" spans="1:22" x14ac:dyDescent="0.25">
      <c r="A7">
        <v>0</v>
      </c>
      <c r="B7" t="s">
        <v>13</v>
      </c>
      <c r="C7">
        <v>10</v>
      </c>
      <c r="D7">
        <v>9</v>
      </c>
      <c r="E7">
        <v>65</v>
      </c>
      <c r="F7">
        <v>35</v>
      </c>
      <c r="G7">
        <v>15</v>
      </c>
      <c r="H7" t="str">
        <f t="shared" si="0"/>
        <v>00:15</v>
      </c>
      <c r="I7" s="2">
        <f t="shared" si="2"/>
        <v>0.85763888888888884</v>
      </c>
      <c r="J7" t="s">
        <v>13</v>
      </c>
      <c r="K7">
        <v>35</v>
      </c>
      <c r="L7" t="str">
        <f t="shared" si="0"/>
        <v>00:35</v>
      </c>
      <c r="M7" s="2">
        <f t="shared" si="3"/>
        <v>0.84027777777777779</v>
      </c>
      <c r="N7" t="s">
        <v>13</v>
      </c>
      <c r="O7">
        <v>15</v>
      </c>
      <c r="P7" t="str">
        <f t="shared" ref="P7" si="8">IF(LEN(O7)=1,CONCATENATE("00:0",O7),CONCATENATE("00:",O7))</f>
        <v>00:15</v>
      </c>
      <c r="Q7" s="2">
        <f t="shared" si="5"/>
        <v>0.85763888888888884</v>
      </c>
      <c r="R7" t="s">
        <v>13</v>
      </c>
      <c r="T7" s="2">
        <v>0.85069444444444398</v>
      </c>
    </row>
    <row r="8" spans="1:22" x14ac:dyDescent="0.25">
      <c r="A8">
        <v>0</v>
      </c>
      <c r="B8" t="s">
        <v>14</v>
      </c>
      <c r="C8">
        <v>4</v>
      </c>
      <c r="D8">
        <v>6</v>
      </c>
      <c r="E8">
        <v>15</v>
      </c>
      <c r="F8">
        <v>5</v>
      </c>
      <c r="G8">
        <v>5</v>
      </c>
      <c r="H8" t="str">
        <f t="shared" si="0"/>
        <v>00:05</v>
      </c>
      <c r="I8" s="2">
        <f t="shared" si="2"/>
        <v>0.86805555555555547</v>
      </c>
      <c r="J8" t="s">
        <v>14</v>
      </c>
      <c r="K8">
        <v>10</v>
      </c>
      <c r="L8" t="str">
        <f t="shared" si="0"/>
        <v>00:10</v>
      </c>
      <c r="M8" s="2">
        <f t="shared" si="3"/>
        <v>0.86458333333333337</v>
      </c>
      <c r="N8" t="s">
        <v>14</v>
      </c>
      <c r="O8">
        <v>5</v>
      </c>
      <c r="P8" t="str">
        <f t="shared" ref="P8" si="9">IF(LEN(O8)=1,CONCATENATE("00:0",O8),CONCATENATE("00:",O8))</f>
        <v>00:05</v>
      </c>
      <c r="Q8" s="2">
        <f t="shared" si="5"/>
        <v>0.86805555555555547</v>
      </c>
      <c r="R8" t="s">
        <v>14</v>
      </c>
      <c r="T8" s="2">
        <v>0.85416666666666696</v>
      </c>
    </row>
    <row r="9" spans="1:22" x14ac:dyDescent="0.25">
      <c r="A9">
        <v>0</v>
      </c>
      <c r="B9" t="s">
        <v>15</v>
      </c>
      <c r="C9">
        <v>4.5</v>
      </c>
      <c r="D9">
        <v>8</v>
      </c>
      <c r="E9">
        <v>30</v>
      </c>
      <c r="F9">
        <v>20</v>
      </c>
      <c r="G9">
        <v>10</v>
      </c>
      <c r="H9" t="str">
        <f t="shared" si="0"/>
        <v>00:10</v>
      </c>
      <c r="I9" s="2">
        <f t="shared" si="2"/>
        <v>0.87152777777777768</v>
      </c>
      <c r="J9" t="s">
        <v>15</v>
      </c>
      <c r="K9">
        <v>15</v>
      </c>
      <c r="L9" t="str">
        <f t="shared" si="0"/>
        <v>00:15</v>
      </c>
      <c r="M9" s="2">
        <f t="shared" si="3"/>
        <v>0.87152777777777779</v>
      </c>
      <c r="N9" t="s">
        <v>15</v>
      </c>
      <c r="O9">
        <v>5</v>
      </c>
      <c r="P9" t="str">
        <f t="shared" ref="P9" si="10">IF(LEN(O9)=1,CONCATENATE("00:0",O9),CONCATENATE("00:",O9))</f>
        <v>00:05</v>
      </c>
      <c r="Q9" s="2">
        <f t="shared" si="5"/>
        <v>0.87152777777777768</v>
      </c>
      <c r="R9" t="s">
        <v>15</v>
      </c>
      <c r="T9" s="2">
        <v>0.85763888888888895</v>
      </c>
    </row>
    <row r="10" spans="1:22" x14ac:dyDescent="0.25">
      <c r="A10">
        <v>0</v>
      </c>
      <c r="B10" t="s">
        <v>16</v>
      </c>
      <c r="C10">
        <v>5</v>
      </c>
      <c r="D10">
        <v>6</v>
      </c>
      <c r="E10">
        <v>25</v>
      </c>
      <c r="F10">
        <v>5</v>
      </c>
      <c r="G10">
        <v>15</v>
      </c>
      <c r="H10" t="str">
        <f t="shared" si="0"/>
        <v>00:15</v>
      </c>
      <c r="I10" s="2">
        <f t="shared" si="2"/>
        <v>0.8784722222222221</v>
      </c>
      <c r="J10" t="s">
        <v>16</v>
      </c>
      <c r="K10">
        <v>0</v>
      </c>
      <c r="L10" t="str">
        <f t="shared" si="0"/>
        <v>00:00</v>
      </c>
      <c r="M10" s="2">
        <f t="shared" si="3"/>
        <v>0.88194444444444442</v>
      </c>
      <c r="N10" t="s">
        <v>16</v>
      </c>
      <c r="O10">
        <v>10</v>
      </c>
      <c r="P10" t="str">
        <f t="shared" ref="P10" si="11">IF(LEN(O10)=1,CONCATENATE("00:0",O10),CONCATENATE("00:",O10))</f>
        <v>00:10</v>
      </c>
      <c r="Q10" s="2">
        <f t="shared" si="5"/>
        <v>0.87499999999999989</v>
      </c>
      <c r="R10" t="s">
        <v>16</v>
      </c>
      <c r="T10" s="2">
        <v>0.86111111111111105</v>
      </c>
    </row>
    <row r="11" spans="1:22" x14ac:dyDescent="0.25">
      <c r="A11">
        <v>0</v>
      </c>
      <c r="B11" t="s">
        <v>17</v>
      </c>
      <c r="C11">
        <v>5</v>
      </c>
      <c r="D11">
        <v>6</v>
      </c>
      <c r="E11">
        <v>25</v>
      </c>
      <c r="F11">
        <v>5</v>
      </c>
      <c r="G11">
        <v>5</v>
      </c>
      <c r="H11" t="str">
        <f t="shared" si="0"/>
        <v>00:05</v>
      </c>
      <c r="I11" s="2">
        <f t="shared" si="2"/>
        <v>0.88888888888888873</v>
      </c>
      <c r="J11" t="s">
        <v>17</v>
      </c>
      <c r="K11">
        <v>0</v>
      </c>
      <c r="L11" t="str">
        <f t="shared" si="0"/>
        <v>00:00</v>
      </c>
      <c r="M11" s="2">
        <f t="shared" si="3"/>
        <v>0.88194444444444442</v>
      </c>
      <c r="N11" t="s">
        <v>17</v>
      </c>
      <c r="O11">
        <v>15</v>
      </c>
      <c r="P11" t="str">
        <f t="shared" ref="P11" si="12">IF(LEN(O11)=1,CONCATENATE("00:0",O11),CONCATENATE("00:",O11))</f>
        <v>00:15</v>
      </c>
      <c r="Q11" s="2">
        <f t="shared" si="5"/>
        <v>0.88194444444444431</v>
      </c>
      <c r="R11" t="s">
        <v>17</v>
      </c>
      <c r="T11" s="2">
        <v>0.86458333333333304</v>
      </c>
    </row>
    <row r="12" spans="1:22" x14ac:dyDescent="0.25">
      <c r="A12">
        <v>0</v>
      </c>
      <c r="B12" t="s">
        <v>19</v>
      </c>
      <c r="C12">
        <v>4</v>
      </c>
      <c r="D12">
        <v>7</v>
      </c>
      <c r="E12">
        <v>25</v>
      </c>
      <c r="F12">
        <v>15</v>
      </c>
      <c r="G12">
        <v>5</v>
      </c>
      <c r="H12" t="str">
        <f t="shared" si="0"/>
        <v>00:05</v>
      </c>
      <c r="I12" s="2">
        <f t="shared" si="2"/>
        <v>0.89236111111111094</v>
      </c>
      <c r="J12" t="s">
        <v>19</v>
      </c>
      <c r="K12">
        <v>20</v>
      </c>
      <c r="L12" t="str">
        <f t="shared" si="0"/>
        <v>00:20</v>
      </c>
      <c r="M12" s="2">
        <f t="shared" si="3"/>
        <v>0.88194444444444442</v>
      </c>
      <c r="N12" t="s">
        <v>19</v>
      </c>
      <c r="O12">
        <v>5</v>
      </c>
      <c r="P12" t="str">
        <f t="shared" ref="P12" si="13">IF(LEN(O12)=1,CONCATENATE("00:0",O12),CONCATENATE("00:",O12))</f>
        <v>00:05</v>
      </c>
      <c r="Q12" s="2">
        <f t="shared" si="5"/>
        <v>0.89236111111111094</v>
      </c>
      <c r="R12" t="s">
        <v>19</v>
      </c>
      <c r="T12" s="2">
        <v>0.86805555555555503</v>
      </c>
    </row>
    <row r="13" spans="1:22" x14ac:dyDescent="0.25">
      <c r="B13" t="s">
        <v>20</v>
      </c>
      <c r="G13">
        <f>SUM(G2:G12)</f>
        <v>90</v>
      </c>
      <c r="I13" s="2">
        <f t="shared" si="2"/>
        <v>0.89583333333333315</v>
      </c>
      <c r="J13" t="s">
        <v>20</v>
      </c>
      <c r="K13">
        <f>SUM(K2:K12)</f>
        <v>90</v>
      </c>
      <c r="M13" s="2">
        <f t="shared" si="3"/>
        <v>0.89583333333333326</v>
      </c>
      <c r="N13" t="s">
        <v>20</v>
      </c>
      <c r="O13">
        <f>SUM(O2:O12)</f>
        <v>90</v>
      </c>
      <c r="Q13" s="2">
        <f t="shared" si="5"/>
        <v>0.89583333333333315</v>
      </c>
      <c r="R13" t="s">
        <v>20</v>
      </c>
      <c r="T13" s="2">
        <v>0.87152777777777801</v>
      </c>
    </row>
    <row r="14" spans="1:22" x14ac:dyDescent="0.25">
      <c r="T14" s="2">
        <v>0.875</v>
      </c>
    </row>
    <row r="15" spans="1:22" x14ac:dyDescent="0.25">
      <c r="T15" s="2">
        <v>0.87847222222222199</v>
      </c>
    </row>
    <row r="16" spans="1:22" x14ac:dyDescent="0.25">
      <c r="T16" s="2">
        <v>0.88194444444444398</v>
      </c>
    </row>
    <row r="17" spans="2:20" x14ac:dyDescent="0.25">
      <c r="T17" s="2">
        <v>0.88541666666666696</v>
      </c>
    </row>
    <row r="18" spans="2:20" x14ac:dyDescent="0.25">
      <c r="T18" s="2">
        <v>0.88888888888888895</v>
      </c>
    </row>
    <row r="19" spans="2:20" x14ac:dyDescent="0.25">
      <c r="T19" s="2">
        <v>0.89236111111111105</v>
      </c>
    </row>
    <row r="20" spans="2:20" x14ac:dyDescent="0.25">
      <c r="B20" s="2">
        <v>0.83333333333333337</v>
      </c>
      <c r="C20" t="s">
        <v>21</v>
      </c>
      <c r="T20" s="2">
        <v>0.89583333333333304</v>
      </c>
    </row>
    <row r="21" spans="2:20" x14ac:dyDescent="0.25">
      <c r="B21" s="2">
        <v>0.84375</v>
      </c>
      <c r="C21" t="s">
        <v>18</v>
      </c>
      <c r="T21" s="2">
        <v>0.89930555555555503</v>
      </c>
    </row>
    <row r="22" spans="2:20" x14ac:dyDescent="0.25">
      <c r="B22" s="2">
        <v>0.84722222222222221</v>
      </c>
      <c r="C22" t="s">
        <v>10</v>
      </c>
      <c r="T22" s="2">
        <v>0.90277777777777801</v>
      </c>
    </row>
    <row r="23" spans="2:20" x14ac:dyDescent="0.25">
      <c r="B23" s="2">
        <v>0.84722222222222221</v>
      </c>
      <c r="C23" t="s">
        <v>11</v>
      </c>
      <c r="T23" s="2">
        <v>0.90625</v>
      </c>
    </row>
    <row r="24" spans="2:20" x14ac:dyDescent="0.25">
      <c r="B24" s="2">
        <v>0.85069444444444442</v>
      </c>
      <c r="C24" t="s">
        <v>12</v>
      </c>
      <c r="T24" s="2">
        <v>0.90972222222222199</v>
      </c>
    </row>
    <row r="25" spans="2:20" x14ac:dyDescent="0.25">
      <c r="B25" s="2">
        <v>0.85763888888888884</v>
      </c>
      <c r="C25" t="s">
        <v>13</v>
      </c>
      <c r="T25" s="2">
        <v>0.91319444444444398</v>
      </c>
    </row>
    <row r="26" spans="2:20" x14ac:dyDescent="0.25">
      <c r="B26" s="2">
        <v>0.86805555555555547</v>
      </c>
      <c r="C26" t="s">
        <v>14</v>
      </c>
      <c r="T26" s="2"/>
    </row>
    <row r="27" spans="2:20" x14ac:dyDescent="0.25">
      <c r="B27" s="2">
        <v>0.87152777777777768</v>
      </c>
      <c r="C27" t="s">
        <v>15</v>
      </c>
    </row>
    <row r="28" spans="2:20" x14ac:dyDescent="0.25">
      <c r="B28" s="2">
        <v>0.8784722222222221</v>
      </c>
      <c r="C28" t="s">
        <v>16</v>
      </c>
    </row>
    <row r="29" spans="2:20" x14ac:dyDescent="0.25">
      <c r="B29" s="2">
        <v>0.88888888888888873</v>
      </c>
      <c r="C29" t="s">
        <v>17</v>
      </c>
    </row>
    <row r="30" spans="2:20" x14ac:dyDescent="0.25">
      <c r="B30" s="2">
        <v>0.89236111111111094</v>
      </c>
      <c r="C30" t="s">
        <v>19</v>
      </c>
    </row>
    <row r="31" spans="2:20" x14ac:dyDescent="0.25">
      <c r="B31" s="2">
        <v>0.89583333333333315</v>
      </c>
      <c r="C31" t="s">
        <v>20</v>
      </c>
    </row>
    <row r="33" spans="2:3" x14ac:dyDescent="0.25">
      <c r="B33" s="2">
        <v>0.83333333333333337</v>
      </c>
      <c r="C33" t="s">
        <v>10</v>
      </c>
    </row>
    <row r="34" spans="2:3" x14ac:dyDescent="0.25">
      <c r="B34" s="2">
        <v>0.84027777777777779</v>
      </c>
      <c r="C34" t="s">
        <v>11</v>
      </c>
    </row>
    <row r="35" spans="2:3" x14ac:dyDescent="0.25">
      <c r="B35" s="2">
        <v>0.84027777777777779</v>
      </c>
      <c r="C35" t="s">
        <v>12</v>
      </c>
    </row>
    <row r="36" spans="2:3" x14ac:dyDescent="0.25">
      <c r="B36" s="2">
        <v>0.84027777777777779</v>
      </c>
      <c r="C36" t="s">
        <v>13</v>
      </c>
    </row>
    <row r="37" spans="2:3" x14ac:dyDescent="0.25">
      <c r="B37" s="2">
        <v>0.86458333333333337</v>
      </c>
      <c r="C37" t="s">
        <v>14</v>
      </c>
    </row>
    <row r="38" spans="2:3" x14ac:dyDescent="0.25">
      <c r="B38" s="2">
        <v>0.87152777777777779</v>
      </c>
      <c r="C38" t="s">
        <v>15</v>
      </c>
    </row>
    <row r="39" spans="2:3" x14ac:dyDescent="0.25">
      <c r="B39" s="2">
        <v>0.88194444444444442</v>
      </c>
      <c r="C39" t="s">
        <v>16</v>
      </c>
    </row>
    <row r="40" spans="2:3" x14ac:dyDescent="0.25">
      <c r="B40" s="2">
        <v>0.88194444444444442</v>
      </c>
      <c r="C40" t="s">
        <v>17</v>
      </c>
    </row>
    <row r="41" spans="2:3" x14ac:dyDescent="0.25">
      <c r="B41" s="2">
        <v>0.88194444444444442</v>
      </c>
      <c r="C41" t="s">
        <v>19</v>
      </c>
    </row>
    <row r="42" spans="2:3" x14ac:dyDescent="0.25">
      <c r="B42" s="2">
        <v>0.89583333333333326</v>
      </c>
      <c r="C42" t="s">
        <v>20</v>
      </c>
    </row>
    <row r="43" spans="2:3" x14ac:dyDescent="0.25">
      <c r="B43" s="2"/>
    </row>
    <row r="44" spans="2:3" x14ac:dyDescent="0.25">
      <c r="B44" s="2">
        <v>0.83333333333333337</v>
      </c>
      <c r="C44" t="s">
        <v>22</v>
      </c>
    </row>
    <row r="45" spans="2:3" x14ac:dyDescent="0.25">
      <c r="B45" s="2">
        <v>0.84027777777777779</v>
      </c>
      <c r="C45" t="s">
        <v>18</v>
      </c>
    </row>
    <row r="46" spans="2:3" x14ac:dyDescent="0.25">
      <c r="B46" s="2">
        <v>0.84722222222222221</v>
      </c>
      <c r="C46" t="s">
        <v>10</v>
      </c>
    </row>
    <row r="47" spans="2:3" x14ac:dyDescent="0.25">
      <c r="B47" s="2">
        <v>0.84722222222222221</v>
      </c>
      <c r="C47" t="s">
        <v>11</v>
      </c>
    </row>
    <row r="48" spans="2:3" x14ac:dyDescent="0.25">
      <c r="B48" s="2">
        <v>0.85069444444444442</v>
      </c>
      <c r="C48" t="s">
        <v>12</v>
      </c>
    </row>
    <row r="49" spans="2:3" x14ac:dyDescent="0.25">
      <c r="B49" s="2">
        <v>0.85763888888888884</v>
      </c>
      <c r="C49" t="s">
        <v>13</v>
      </c>
    </row>
    <row r="50" spans="2:3" x14ac:dyDescent="0.25">
      <c r="B50" s="2">
        <v>0.86805555555555547</v>
      </c>
      <c r="C50" t="s">
        <v>14</v>
      </c>
    </row>
    <row r="51" spans="2:3" x14ac:dyDescent="0.25">
      <c r="B51" s="2">
        <v>0.87152777777777768</v>
      </c>
      <c r="C51" t="s">
        <v>15</v>
      </c>
    </row>
    <row r="52" spans="2:3" x14ac:dyDescent="0.25">
      <c r="B52" s="2">
        <v>0.87499999999999989</v>
      </c>
      <c r="C52" t="s">
        <v>16</v>
      </c>
    </row>
    <row r="53" spans="2:3" x14ac:dyDescent="0.25">
      <c r="B53" s="2">
        <v>0.88194444444444431</v>
      </c>
      <c r="C53" t="s">
        <v>17</v>
      </c>
    </row>
    <row r="54" spans="2:3" x14ac:dyDescent="0.25">
      <c r="B54" s="2">
        <v>0.89236111111111094</v>
      </c>
      <c r="C54" t="s">
        <v>19</v>
      </c>
    </row>
    <row r="55" spans="2:3" x14ac:dyDescent="0.25">
      <c r="B55" s="2">
        <v>0.89583333333333315</v>
      </c>
      <c r="C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Capstaff</cp:lastModifiedBy>
  <dcterms:created xsi:type="dcterms:W3CDTF">2025-03-26T10:27:28Z</dcterms:created>
  <dcterms:modified xsi:type="dcterms:W3CDTF">2025-03-26T11:25:45Z</dcterms:modified>
</cp:coreProperties>
</file>